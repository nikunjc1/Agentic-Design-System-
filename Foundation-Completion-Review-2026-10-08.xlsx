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75181b368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test report" sheetId="1" r:id="R9988d2dcfe354ea8"/>
    <x:sheet xmlns:r="http://schemas.openxmlformats.org/officeDocument/2006/relationships" name="Original findings" sheetId="2" r:id="R3291ad2c4b4a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02937"/>
      <x:name val="Arial"/>
    </x:font>
    <x:font>
      <x:b/>
      <x:sz val="16"/>
      <x:color rgb="FF18263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A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4">
    <x:dxf>
      <x:font>
        <x:color rgb="FF704B00"/>
      </x:font>
      <x:fill>
        <x:patternFill patternType="solid">
          <x:bgColor rgb="FFFFF2DB"/>
        </x:patternFill>
      </x:fill>
    </x:dxf>
    <x:dxf>
      <x:font>
        <x:color rgb="FF704B00"/>
      </x:font>
      <x:fill>
        <x:patternFill patternType="solid">
          <x:bgColor rgb="FFFFF2DB"/>
        </x:patternFill>
      </x:fill>
    </x:dxf>
    <x:dxf>
      <x:font>
        <x:color rgb="FF704B00"/>
      </x:font>
      <x:fill>
        <x:patternFill patternType="solid">
          <x:bgColor rgb="FFFFF2DB"/>
        </x:patternFill>
      </x:fill>
    </x:dxf>
    <x:dxf>
      <x:font>
        <x:color rgb="FF704B00"/>
      </x:font>
      <x:fill>
        <x:patternFill patternType="solid">
          <x:bgColor rgb="FFFFF2DB"/>
        </x:patternFill>
      </x:fill>
    </x:dxf>
    <x:dxf>
      <x:font>
        <x:color rgb="FF9A211A"/>
      </x:font>
      <x:fill>
        <x:patternFill patternType="solid">
          <x:bgColor rgb="FFFCE7E5"/>
        </x:patternFill>
      </x:fill>
    </x:dxf>
    <x:dxf>
      <x:font>
        <x:color rgb="FF9A211A"/>
      </x:font>
      <x:fill>
        <x:patternFill patternType="solid">
          <x:bgColor rgb="FFFCE7E5"/>
        </x:patternFill>
      </x:fill>
    </x:dxf>
    <x:dxf>
      <x:font>
        <x:color rgb="FF704B00"/>
      </x:font>
      <x:fill>
        <x:patternFill patternType="solid">
          <x:bgColor rgb="FFFFF2DB"/>
        </x:patternFill>
      </x:fill>
    </x:dxf>
    <x:dxf>
      <x:font>
        <x:color rgb="FF704B00"/>
      </x:font>
      <x:fill>
        <x:patternFill patternType="solid">
          <x:bgColor rgb="FFFFF2DB"/>
        </x:patternFill>
      </x:fill>
    </x:dxf>
    <x:dxf>
      <x:font>
        <x:color rgb="FF704B00"/>
      </x:font>
      <x:fill>
        <x:patternFill patternType="solid">
          <x:bgColor rgb="FFFFF2DB"/>
        </x:patternFill>
      </x:fill>
    </x:dxf>
    <x:dxf>
      <x:font>
        <x:color rgb="FF704B00"/>
      </x:font>
      <x:fill>
        <x:patternFill patternType="solid">
          <x:bgColor rgb="FFFFF2DB"/>
        </x:patternFill>
      </x:fill>
    </x:dxf>
    <x:dxf>
      <x:font>
        <x:color rgb="FF704B00"/>
      </x:font>
      <x:fill>
        <x:patternFill patternType="solid">
          <x:bgColor rgb="FFFFF2DB"/>
        </x:patternFill>
      </x:fill>
    </x:dxf>
    <x:dxf>
      <x:font>
        <x:color rgb="FF9A211A"/>
      </x:font>
      <x:fill>
        <x:patternFill patternType="solid">
          <x:bgColor rgb="FFFCE7E5"/>
        </x:patternFill>
      </x:fill>
    </x:dxf>
    <x:dxf>
      <x:font>
        <x:color rgb="FF9A211A"/>
      </x:font>
      <x:fill>
        <x:patternFill patternType="solid">
          <x:bgColor rgb="FFFCE7E5"/>
        </x:patternFill>
      </x:fill>
    </x:dxf>
    <x:dxf>
      <x:font>
        <x:color rgb="FF704B00"/>
      </x:font>
      <x:fill>
        <x:patternFill patternType="solid">
          <x:bgColor rgb="FFFFF2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e13a411914714" /><Relationship Type="http://schemas.openxmlformats.org/officeDocument/2006/relationships/theme" Target="/xl/theme/theme1.xml" Id="R6cd78b32fc7c4036" /><Relationship Type="http://schemas.openxmlformats.org/officeDocument/2006/relationships/sharedStrings" Target="/xl/sharedStrings.xml" Id="R09dc2c256be44603" /><Relationship Type="http://schemas.openxmlformats.org/officeDocument/2006/relationships/worksheet" Target="/xl/worksheets/sheet1.xml" Id="R9988d2dcfe354ea8" /><Relationship Type="http://schemas.openxmlformats.org/officeDocument/2006/relationships/worksheet" Target="/xl/worksheets/sheet2.xml" Id="R3291ad2c4b4a4781" /></Relationships>
</file>

<file path=xl/tables/table1.xml><?xml version="1.0" encoding="utf-8"?>
<x:table xmlns:x="http://schemas.openxmlformats.org/spreadsheetml/2006/main" id="1" name="LatestReportTasks" displayName="LatestReportTasks" ref="A8:I67" headerRowCount="1" totalsRowCount="0" totalsRowShown="0">
  <x:autoFilter ref="A8:I67"/>
  <x:tableColumns count="9">
    <x:tableColumn id="1" name="ID"/>
    <x:tableColumn id="2" name="Section"/>
    <x:tableColumn id="3" name="Current status"/>
    <x:tableColumn id="4" name="Priority"/>
    <x:tableColumn id="5" name="Problem"/>
    <x:tableColumn id="6" name="Solution"/>
    <x:tableColumn id="7" name="Task / guide"/>
    <x:tableColumn id="8" name="Reference"/>
    <x:tableColumn id="9" name="Current evidence"/>
  </x:tableColumns>
  <x:tableStyleInfo name="TableStyleMedium9" showFirstColumn="0" showLastColumn="0" showRowStripes="0" showColumnStripes="0"/>
</x:table>
</file>

<file path=xl/tables/table2.xml><?xml version="1.0" encoding="utf-8"?>
<x:table xmlns:x="http://schemas.openxmlformats.org/spreadsheetml/2006/main" id="2" name="OriginalFindings" displayName="OriginalFindings" ref="A8:J108" headerRowCount="1" totalsRowCount="0" totalsRowShown="0">
  <x:autoFilter ref="A8:J108"/>
  <x:tableColumns count="10">
    <x:tableColumn id="1" name="ID"/>
    <x:tableColumn id="2" name="Section"/>
    <x:tableColumn id="3" name="Current status"/>
    <x:tableColumn id="4" name="Priority"/>
    <x:tableColumn id="5" name="Original problem"/>
    <x:tableColumn id="6" name="Original recommendation"/>
    <x:tableColumn id="7" name="Task / guide"/>
    <x:tableColumn id="8" name="Original reference"/>
    <x:tableColumn id="9" name="Current evidence"/>
    <x:tableColumn id="10" name="Status on 06 Oct"/>
  </x:tableColumns>
  <x:tableStyleInfo name="TableStyleMedium9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e17e9eaa4b48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4e096797034dca" /></Relationships>
</file>

<file path=xl/worksheets/sheet1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7.21999979019165" hidden="0" customWidth="1"/>
    <x:col min="2" max="2" width="16.110000610351562" hidden="0" customWidth="1"/>
    <x:col min="3" max="3" width="18.329999923706055" hidden="0" customWidth="1"/>
    <x:col min="4" max="4" width="6.110000133514404" hidden="0" customWidth="1"/>
    <x:col min="5" max="5" width="30" hidden="0" customWidth="1"/>
    <x:col min="6" max="6" width="30" hidden="0" customWidth="1"/>
    <x:col min="7" max="7" width="30.559999465942383" hidden="0" customWidth="1"/>
    <x:col min="8" max="8" width="26.110000610351562" hidden="0" customWidth="1"/>
    <x:col min="9" max="9" width="29.4400005340576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Damco Foundation completion review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Updated 08 Oct 2026. Includes 8 missed fixes and all 26 screenshot/attachment requests. Open rows require physical acceptance.</x:v>
      </x:c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4" t="str">
        <x:v>Implemented means source fix present. DOM/model checks do not certify browser layout, real assistive technology or recipient rendering.</x:v>
      </x:c>
      <x:c r="B4" s="4"/>
      <x:c r="C4" s="4"/>
      <x:c r="D4" s="4"/>
      <x:c r="E4" s="4"/>
      <x:c r="F4" s="4"/>
      <x:c r="G4" s="4"/>
      <x:c r="H4" s="4"/>
      <x:c r="I4" s="4"/>
    </x:row>
    <x:row r="5" ht="24" customHeight="1">
      <x:c r="A5" s="4" t="str">
        <x:v>Passed: 65 regression tests; 3,880 DOM assertions; 817 defined combinations; 131 component pages plus Patterns/Templates. All 634 default token properties import in both modes.</x:v>
      </x:c>
      <x:c r="B5" s="4"/>
      <x:c r="C5" s="4"/>
      <x:c r="D5" s="4"/>
      <x:c r="E5" s="4"/>
      <x:c r="F5" s="4"/>
      <x:c r="G5" s="4"/>
      <x:c r="H5" s="4"/>
      <x:c r="I5" s="4"/>
    </x:row>
    <x:row r="6">
      <x:c r="A6" s="2"/>
      <x:c r="B6" s="2"/>
      <x:c r="C6" s="2"/>
      <x:c r="D6" s="2"/>
      <x:c r="E6" s="2" t="str">
        <x:v>Rows implemented</x:v>
      </x:c>
      <x:c r="F6" s="13" t="n">
        <x:f>COUNTIF(C9:C67,"Implemented")+COUNTIF(C9:C67,"Implemented; visual pending")</x:f>
        <x:v>47</x:v>
      </x:c>
      <x:c r="G6" s="2"/>
      <x:c r="H6" s="2" t="str">
        <x:v>Open follow-up rows</x:v>
      </x:c>
      <x:c r="I6" s="13" t="n">
        <x:f>COUNTA(A9:A67)-F6</x:f>
        <x:v>12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</x:row>
    <x:row r="8" ht="30" customHeight="1">
      <x:c r="A8" s="8" t="str">
        <x:v>ID</x:v>
      </x:c>
      <x:c r="B8" s="8" t="str">
        <x:v>Section</x:v>
      </x:c>
      <x:c r="C8" s="8" t="str">
        <x:v>Current status</x:v>
      </x:c>
      <x:c r="D8" s="8" t="str">
        <x:v>Priority</x:v>
      </x:c>
      <x:c r="E8" s="8" t="str">
        <x:v>Problem</x:v>
      </x:c>
      <x:c r="F8" s="8" t="str">
        <x:v>Solution</x:v>
      </x:c>
      <x:c r="G8" s="8" t="str">
        <x:v>Task / guide</x:v>
      </x:c>
      <x:c r="H8" s="8" t="str">
        <x:v>Reference</x:v>
      </x:c>
      <x:c r="I8" s="8" t="str">
        <x:v>Current evidence</x:v>
      </x:c>
    </x:row>
    <x:row r="9" ht="52" customHeight="1">
      <x:c r="A9" s="11" t="str">
        <x:v>F01</x:v>
      </x:c>
      <x:c r="B9" s="11" t="str">
        <x:v>Shared prompts</x:v>
      </x:c>
      <x:c r="C9" s="11" t="str">
        <x:v>Implemented</x:v>
      </x:c>
      <x:c r="D9" s="12" t="str">
        <x:v>P1</x:v>
      </x:c>
      <x:c r="E9" s="11" t="str">
        <x:v>Prompts lacked the full current configuration; inherited changes could be unclear.</x:v>
      </x:c>
      <x:c r="F9" s="11" t="str">
        <x:v>Add applied settings, current tokens, theme, unit, density and direction to local Markdown.</x:v>
      </x:c>
      <x:c r="G9" s="11" t="str">
        <x:v>Edit a setting → inspect Current Foundation configuration → copy → compare values.</x:v>
      </x:c>
      <x:c r="H9" s="11" t="str">
        <x:v>foundation-runtime.js, experience.js</x:v>
      </x:c>
      <x:c r="I9" s="11" t="str">
        <x:v>Foundation sweep plus all 133 library pages pass current-context and changed-setting prompt checks.</x:v>
      </x:c>
    </x:row>
    <x:row r="10" ht="52" customHeight="1">
      <x:c r="A10" s="11" t="str">
        <x:v>F02</x:v>
      </x:c>
      <x:c r="B10" s="11" t="str">
        <x:v>Copy Markdown</x:v>
      </x:c>
      <x:c r="C10" s="11" t="str">
        <x:v>Implemented</x:v>
      </x:c>
      <x:c r="D10" s="12" t="str">
        <x:v>P1</x:v>
      </x:c>
      <x:c r="E10" s="11" t="str">
        <x:v>Copy could report success without copying.</x:v>
      </x:c>
      <x:c r="F10" s="11" t="str">
        <x:v>Share a clipboard helper; support a successful fallback; show manual-copy guidance on failure.</x:v>
      </x:c>
      <x:c r="G10" s="11" t="str">
        <x:v>Test normal copy, denied permission, missing API and failed fallback.</x:v>
      </x:c>
      <x:c r="H10" s="11" t="str">
        <x:v>shell.js, local Foundation renderers</x:v>
      </x:c>
      <x:c r="I10" s="11" t="str">
        <x:v>Foundation copy checks and all 133 library pages pass real script success/failure paths; no rendered browser claim.</x:v>
      </x:c>
    </x:row>
    <x:row r="11" ht="52" customHeight="1">
      <x:c r="A11" s="11" t="str">
        <x:v>F03</x:v>
      </x:c>
      <x:c r="B11" s="11" t="str">
        <x:v>Typography reset</x:v>
      </x:c>
      <x:c r="C11" s="11" t="str">
        <x:v>Implemented</x:v>
      </x:c>
      <x:c r="D11" s="12" t="str">
        <x:v>P1</x:v>
      </x:c>
      <x:c r="E11" s="11" t="str">
        <x:v>A failed reset could leave persistence disabled. Later edits stopped saving.</x:v>
      </x:c>
      <x:c r="F11" s="11" t="str">
        <x:v>Enable reset suppression only after removal succeeds.</x:v>
      </x:c>
      <x:c r="G11" s="11" t="str">
        <x:v>Block reset → edit a weight → allow storage → save and reload.</x:v>
      </x:c>
      <x:c r="H11" s="11" t="str">
        <x:v>typography.js, reset handler</x:v>
      </x:c>
      <x:c r="I11" s="11" t="str">
        <x:v>Failed reset followed by successful save is covered by saved recovery checks.</x:v>
      </x:c>
    </x:row>
    <x:row r="12" ht="52" customHeight="1">
      <x:c r="A12" s="11" t="str">
        <x:v>F04</x:v>
      </x:c>
      <x:c r="B12" s="11" t="str">
        <x:v>Typography input / fonts</x:v>
      </x:c>
      <x:c r="C12" s="11" t="str">
        <x:v>Implemented</x:v>
      </x:c>
      <x:c r="D12" s="12" t="str">
        <x:v>P1</x:v>
      </x:c>
      <x:c r="E12" s="11" t="str">
        <x:v>Empty tracking could become zero. Pending uploads could undo reset.</x:v>
      </x:c>
      <x:c r="F12" s="11" t="str">
        <x:v>Keep empty tracking invalid; cancel pending uploads; clear old assets on reset.</x:v>
      </x:c>
      <x:c r="G12" s="11" t="str">
        <x:v>Clear tracking → previous applied value remains → enter a valid value. Upload → reset before completion.</x:v>
      </x:c>
      <x:c r="H12" s="11" t="str">
        <x:v>typography.js, tracking / upload handlers</x:v>
      </x:c>
      <x:c r="I12" s="11" t="str">
        <x:v>Blank tracking and font read/load/reset races covered in DOM checks. Real font decoding remains pending.</x:v>
      </x:c>
    </x:row>
    <x:row r="13" ht="52" customHeight="1">
      <x:c r="A13" s="11" t="str">
        <x:v>F05</x:v>
      </x:c>
      <x:c r="B13" s="11" t="str">
        <x:v>Icon references</x:v>
      </x:c>
      <x:c r="C13" s="11" t="str">
        <x:v>Implemented</x:v>
      </x:c>
      <x:c r="D13" s="12" t="str">
        <x:v>P1</x:v>
      </x:c>
      <x:c r="E13" s="11" t="str">
        <x:v>References disappeared after reload; no removal or read-error feedback.</x:v>
      </x:c>
      <x:c r="F13" s="11" t="str">
        <x:v>Persist assets; restore thumbnails; add removal, keyboard access, limits and read errors.</x:v>
      </x:c>
      <x:c r="G13" s="11" t="str">
        <x:v>Upload → save → reload → remove → reload. Test unsupported and oversized files.</x:v>
      </x:c>
      <x:c r="H13" s="11" t="str">
        <x:v>icons.js, reference upload</x:v>
      </x:c>
      <x:c r="I13" s="11" t="str">
        <x:v>Upload, removal, reload, reset and read-error checks pass in DOM. Rendered assets remain pending.</x:v>
      </x:c>
    </x:row>
    <x:row r="14" ht="52" customHeight="1">
      <x:c r="A14" s="11" t="str">
        <x:v>F06</x:v>
      </x:c>
      <x:c r="B14" s="11" t="str">
        <x:v>Icon geometry</x:v>
      </x:c>
      <x:c r="C14" s="11" t="str">
        <x:v>Implemented</x:v>
      </x:c>
      <x:c r="D14" s="12" t="str">
        <x:v>P1</x:v>
      </x:c>
      <x:c r="E14" s="11" t="str">
        <x:v>Isometric/3D ignored selected size. SVG stroke was incorrectly described as px.</x:v>
      </x:c>
      <x:c r="F14" s="11" t="str">
        <x:v>Apply width/height to every style. Document intrinsic viewBox and unitless SVG stroke.</x:v>
      </x:c>
      <x:c r="G14" s="11" t="str">
        <x:v>Select each style and size; compare SVG dimensions, saved values and Markdown.</x:v>
      </x:c>
      <x:c r="H14" s="11" t="str">
        <x:v>icons.js, preview; icons.html, stroke guidance</x:v>
      </x:c>
      <x:c r="I14" s="11" t="str">
        <x:v>112 defined icon cases pass. SVG width/height and unit guidance checked. Optical rendering remains pending.</x:v>
      </x:c>
    </x:row>
    <x:row r="15" ht="52" customHeight="1">
      <x:c r="A15" s="11" t="str">
        <x:v>F07</x:v>
      </x:c>
      <x:c r="B15" s="11" t="str">
        <x:v>Borders validation</x:v>
      </x:c>
      <x:c r="C15" s="11" t="str">
        <x:v>Implemented</x:v>
      </x:c>
      <x:c r="D15" s="12" t="str">
        <x:v>P1</x:v>
      </x:c>
      <x:c r="E15" s="11" t="str">
        <x:v>Invalid drafts could reach persistence. Zero width/opacity was ignored on reload.</x:v>
      </x:c>
      <x:c r="F15" s="11" t="str">
        <x:v>Validate hex and opacity; preserve zero values when restoring.</x:v>
      </x:c>
      <x:c r="G15" s="11" t="str">
        <x:v>Try incomplete hex and opacity 101; then save width 0 / opacity 0 and reload.</x:v>
      </x:c>
      <x:c r="H15" s="11" t="str">
        <x:v>borders.js, validation / reload</x:v>
      </x:c>
      <x:c r="I15" s="11" t="str">
        <x:v>Invalid hex/opacity and zero-value reload pass in saved DOM checks.</x:v>
      </x:c>
    </x:row>
    <x:row r="16" ht="52" customHeight="1">
      <x:c r="A16" s="11" t="str">
        <x:v>F08</x:v>
      </x:c>
      <x:c r="B16" s="11" t="str">
        <x:v>Grid validation</x:v>
      </x:c>
      <x:c r="C16" s="11" t="str">
        <x:v>Implemented</x:v>
      </x:c>
      <x:c r="D16" s="12" t="str">
        <x:v>P1</x:v>
      </x:c>
      <x:c r="E16" s="11" t="str">
        <x:v>Invalid recommended grids were only flagged when Custom was selected.</x:v>
      </x:c>
      <x:c r="F16" s="11" t="str">
        <x:v>Validate columns/gutter for every grid type; keep invalid drafts unsaved.</x:v>
      </x:c>
      <x:c r="G16" s="11" t="str">
        <x:v>Enter 25 columns or a fractional gutter; check validation and previous applied grid.</x:v>
      </x:c>
      <x:c r="H16" s="11" t="str">
        <x:v>grid-layout.js, numeric editor</x:v>
      </x:c>
      <x:c r="I16" s="11" t="str">
        <x:v>Numeric bounds and 96 defined grid cases pass in saved DOM checks.</x:v>
      </x:c>
    </x:row>
    <x:row r="17" ht="52" customHeight="1">
      <x:c r="A17" s="11" t="str">
        <x:v>F09</x:v>
      </x:c>
      <x:c r="B17" s="11" t="str">
        <x:v>Data Format</x:v>
      </x:c>
      <x:c r="C17" s="11" t="str">
        <x:v>Implemented</x:v>
      </x:c>
      <x:c r="D17" s="12" t="str">
        <x:v>P1</x:v>
      </x:c>
      <x:c r="E17" s="11" t="str">
        <x:v>Prompts updated only after change/blur. Blank numbers and simultaneous errors were unclear.</x:v>
      </x:c>
      <x:c r="F17" s="11" t="str">
        <x:v>Commit valid input events; reject invalid values; identify every invalid field together.</x:v>
      </x:c>
      <x:c r="G17" s="11" t="str">
        <x:v>Edit without blur; test blank decimals, invalid zone, two-character mask and comma-decimal conflict.</x:v>
      </x:c>
      <x:c r="H17" s="11" t="str">
        <x:v>data-format.js, configuration form</x:v>
      </x:c>
      <x:c r="I17" s="11" t="str">
        <x:v>24 controls, live updates, 48 locale combinations and simultaneous errors checked in DOM.</x:v>
      </x:c>
    </x:row>
    <x:row r="18" ht="52" customHeight="1">
      <x:c r="A18" s="11" t="str">
        <x:v>F10</x:v>
      </x:c>
      <x:c r="B18" s="11" t="str">
        <x:v>AI action colors</x:v>
      </x:c>
      <x:c r="C18" s="11" t="str">
        <x:v>Implemented</x:v>
      </x:c>
      <x:c r="D18" s="12" t="str">
        <x:v>P1</x:v>
      </x:c>
      <x:c r="E18" s="11" t="str">
        <x:v>Approve/Reject referenced missing tokens and could lose text contrast on custom surfaces.</x:v>
      </x:c>
      <x:c r="F18" s="11" t="str">
        <x:v>Derive semantic colors and separate default/hover/active backgrounds and text colors.</x:v>
      </x:c>
      <x:c r="G18" s="11" t="str">
        <x:v>Test light/dark, varied status colors and panel backgrounds; compare every state.</x:v>
      </x:c>
      <x:c r="H18" s="11" t="str">
        <x:v>foundation-model.js, shell.css</x:v>
      </x:c>
      <x:c r="I18" s="11" t="str">
        <x:v>Fresh model tests pass for both themes, custom surfaces and all action states.</x:v>
      </x:c>
    </x:row>
    <x:row r="19" ht="52" customHeight="1">
      <x:c r="A19" s="11" t="str">
        <x:v>F11</x:v>
      </x:c>
      <x:c r="B19" s="11" t="str">
        <x:v>Color contrast readouts</x:v>
      </x:c>
      <x:c r="C19" s="11" t="str">
        <x:v>Implemented</x:v>
      </x:c>
      <x:c r="D19" s="12" t="str">
        <x:v>P1</x:v>
      </x:c>
      <x:c r="E19" s="11" t="str">
        <x:v>Brand readouts used a different foreground rule; surfaces checked fixed text defaults.</x:v>
      </x:c>
      <x:c r="F19" s="11" t="str">
        <x:v>Use the shared state foreground rule and current Typography colors.</x:v>
      </x:c>
      <x:c r="G19" s="11" t="str">
        <x:v>Change brand or primary text color; compare contrast readouts with resolved tokens.</x:v>
      </x:c>
      <x:c r="H19" s="11" t="str">
        <x:v>foundations.js, contrast readouts</x:v>
      </x:c>
      <x:c r="I19" s="11" t="str">
        <x:v>Source uses shared foreground/current text colors. Fresh contrast model tests pass. Rendered labels pending.</x:v>
      </x:c>
    </x:row>
    <x:row r="20" ht="52" customHeight="1">
      <x:c r="A20" s="11" t="str">
        <x:v>F12</x:v>
      </x:c>
      <x:c r="B20" s="11" t="str">
        <x:v>Dark customization</x:v>
      </x:c>
      <x:c r="C20" s="11" t="str">
        <x:v>Implemented</x:v>
      </x:c>
      <x:c r="D20" s="12" t="str">
        <x:v>P2</x:v>
      </x:c>
      <x:c r="E20" s="11" t="str">
        <x:v>Opening separate dark customization was not represented durably in the prompt.</x:v>
      </x:c>
      <x:c r="F20" s="11" t="str">
        <x:v>Save and restore the edit-enabled choice independently of auto-generated color state.</x:v>
      </x:c>
      <x:c r="G20" s="11" t="str">
        <x:v>Toggle dark customization → copy → reload → confirm choice.</x:v>
      </x:c>
      <x:c r="H20" s="11" t="str">
        <x:v>foundations.js, dark controls</x:v>
      </x:c>
      <x:c r="I20" s="11" t="str">
        <x:v>Saved DOM checks cover toggle persistence and prompt state.</x:v>
      </x:c>
    </x:row>
    <x:row r="21" ht="52" customHeight="1">
      <x:c r="A21" s="11" t="str">
        <x:v>F13</x:v>
      </x:c>
      <x:c r="B21" s="11" t="str">
        <x:v>Shared sizing</x:v>
      </x:c>
      <x:c r="C21" s="11" t="str">
        <x:v>Implemented</x:v>
      </x:c>
      <x:c r="D21" s="12" t="str">
        <x:v>P2</x:v>
      </x:c>
      <x:c r="E21" s="11" t="str">
        <x:v>No direct reset for shared sizing; icon precedence unclear.</x:v>
      </x:c>
      <x:c r="F21" s="11" t="str">
        <x:v>Add Reset shared sizing and explain fallback versus explicit icon/component sizing.</x:v>
      </x:c>
      <x:c r="G21" s="11" t="str">
        <x:v>Change sizing → reset → reload. Block storage and confirm failed reset preserves values.</x:v>
      </x:c>
      <x:c r="H21" s="11" t="str">
        <x:v>foundation-runtime.js, Shared sizing</x:v>
      </x:c>
      <x:c r="I21" s="11" t="str">
        <x:v>Saved recovery checks cover successful and failed shared-sizing reset.</x:v>
      </x:c>
    </x:row>
    <x:row r="22" ht="52" customHeight="1">
      <x:c r="A22" s="11" t="str">
        <x:v>F14</x:v>
      </x:c>
      <x:c r="B22" s="11" t="str">
        <x:v>Shadows / AI exports</x:v>
      </x:c>
      <x:c r="C22" s="11" t="str">
        <x:v>Implemented</x:v>
      </x:c>
      <x:c r="D22" s="12" t="str">
        <x:v>P2</x:v>
      </x:c>
      <x:c r="E22" s="11" t="str">
        <x:v>No local Markdown export.</x:v>
      </x:c>
      <x:c r="F22" s="11" t="str">
        <x:v>Add local exports with current recipes and tokens, including px/rem references.</x:v>
      </x:c>
      <x:c r="G22" s="11" t="str">
        <x:v>Change shadow philosophy / inherited status color → copy current Markdown.</x:v>
      </x:c>
      <x:c r="H22" s="11" t="str">
        <x:v>shadows.html, ai-foundation.html</x:v>
      </x:c>
      <x:c r="I22" s="11" t="str">
        <x:v>Saved DOM checks cover both local exports and live context. Recipient rendering remains pending.</x:v>
      </x:c>
    </x:row>
    <x:row r="23" ht="52" customHeight="1">
      <x:c r="A23" s="11" t="str">
        <x:v>F15</x:v>
      </x:c>
      <x:c r="B23" s="11" t="str">
        <x:v>AI example actions</x:v>
      </x:c>
      <x:c r="C23" s="11" t="str">
        <x:v>Implemented</x:v>
      </x:c>
      <x:c r="D23" s="12" t="str">
        <x:v>P1</x:v>
      </x:c>
      <x:c r="E23" s="11" t="str">
        <x:v>Examples implied real saved changes and cited unverified file evidence.</x:v>
      </x:c>
      <x:c r="F23" s="11" t="str">
        <x:v>Label demonstrations; remove fabricated evidence; restore focus through result/Undo.</x:v>
      </x:c>
      <x:c r="G23" s="11" t="str">
        <x:v>Approve / Reject → read honest result → Undo → confirm focus and restored actions.</x:v>
      </x:c>
      <x:c r="H23" s="11" t="str">
        <x:v>ai-foundation.js, ai-foundation.html</x:v>
      </x:c>
      <x:c r="I23" s="11" t="str">
        <x:v>Saved DOM checks cover honest results, Undo and focus restoration. Screen-reader acceptance pending.</x:v>
      </x:c>
    </x:row>
    <x:row r="24" ht="52" customHeight="1">
      <x:c r="A24" s="11" t="str">
        <x:v>F16</x:v>
      </x:c>
      <x:c r="B24" s="11" t="str">
        <x:v>Accessibility documentation</x:v>
      </x:c>
      <x:c r="C24" s="11" t="str">
        <x:v>Implemented</x:v>
      </x:c>
      <x:c r="D24" s="12" t="str">
        <x:v>P2</x:v>
      </x:c>
      <x:c r="E24" s="11" t="str">
        <x:v>Guidance still described settings as export-only; counts and migration claims were stale.</x:v>
      </x:c>
      <x:c r="F24" s="11" t="str">
        <x:v>Document current live application, copy errors, reset behavior, targets and migration limits.</x:v>
      </x:c>
      <x:c r="G24" s="11" t="str">
        <x:v>Compare state-model descriptions with the actual editor and failure tests.</x:v>
      </x:c>
      <x:c r="H24" s="11" t="str">
        <x:v>accessibility.html</x:v>
      </x:c>
      <x:c r="I24" s="11" t="str">
        <x:v>Universal record versions, recovery and current live state are documented. Assistive-technology acceptance remains open.</x:v>
      </x:c>
    </x:row>
    <x:row r="25" ht="52" customHeight="1">
      <x:c r="A25" s="11" t="str">
        <x:v>F17</x:v>
      </x:c>
      <x:c r="B25" s="11" t="str">
        <x:v>Guidelines / Copywriting layout</x:v>
      </x:c>
      <x:c r="C25" s="11" t="str">
        <x:v>Implemented; visual pending</x:v>
      </x:c>
      <x:c r="D25" s="12" t="str">
        <x:v>P2</x:v>
      </x:c>
      <x:c r="E25" s="11" t="str">
        <x:v>Three-part reference rows inherited four-column layouts; Read More could shift adjacent values.</x:v>
      </x:c>
      <x:c r="F25" s="11" t="str">
        <x:v>Wrap descriptions; use three columns with responsive stacking and consistent panel gaps.</x:v>
      </x:c>
      <x:c r="G25" s="11" t="str">
        <x:v>Check description expansion, separators and column alignment at narrow/wide widths in a browser.</x:v>
      </x:c>
      <x:c r="H25" s="11" t="str">
        <x:v>guidelines.html, copywriting.html, foundation.css</x:v>
      </x:c>
      <x:c r="I25" s="11" t="str">
        <x:v>Three-column CSS and description wrapper present. Width, wrapping and alignment require browser checks.</x:v>
      </x:c>
    </x:row>
    <x:row r="26" ht="52" customHeight="1">
      <x:c r="A26" s="11" t="str">
        <x:v>R01</x:v>
      </x:c>
      <x:c r="B26" s="11" t="str">
        <x:v>All pages / browser</x:v>
      </x:c>
      <x:c r="C26" s="11" t="str">
        <x:v>Verification pending</x:v>
      </x:c>
      <x:c r="D26" s="12" t="str">
        <x:v>P1</x:v>
      </x:c>
      <x:c r="E26" s="11" t="str">
        <x:v>Rendered gutters, padding, dropdowns and bottom scrolling have not been checked.</x:v>
      </x:c>
      <x:c r="F26" s="11" t="str">
        <x:v>Complete browser acceptance. Fix any reproduced layout defect.</x:v>
      </x:c>
      <x:c r="G26" s="11" t="str">
        <x:v>Test all 14 pages at 320, 375, 768, 1024 and 1440 px. Check equal side gutters, dropdowns, banner dismissal and scroll bottom.</x:v>
      </x:c>
      <x:c r="H26" s="11" t="str">
        <x:v>Latest report: Remaining tasks / Browser. shell.css; experience.css; foundation.css</x:v>
      </x:c>
      <x:c r="I26" s="11" t="str">
        <x:v>Browser connection retry returned no available browser on 08 Oct. DOM does not measure rendered layout.</x:v>
      </x:c>
    </x:row>
    <x:row r="27" ht="52" customHeight="1">
      <x:c r="A27" s="11" t="str">
        <x:v>R02</x:v>
      </x:c>
      <x:c r="B27" s="11" t="str">
        <x:v>Accessibility</x:v>
      </x:c>
      <x:c r="C27" s="11" t="str">
        <x:v>Verification pending</x:v>
      </x:c>
      <x:c r="D27" s="12" t="str">
        <x:v>P1</x:v>
      </x:c>
      <x:c r="E27" s="11" t="str">
        <x:v>Real keyboard, assistive technology, zoom and forced-color behavior remain unverified.</x:v>
      </x:c>
      <x:c r="F27" s="11" t="str">
        <x:v>Complete accessibility acceptance and record results.</x:v>
      </x:c>
      <x:c r="G27" s="11" t="str">
        <x:v>Tab through controls. Check announcements, error focus, 200% zoom, forced colors and four-line Read More / Read Less.</x:v>
      </x:c>
      <x:c r="H27" s="11" t="str">
        <x:v>Latest report: Remaining tasks / Accessibility. accessibility.html; foundation-runtime.js</x:v>
      </x:c>
      <x:c r="I27" s="11" t="str">
        <x:v>DOM focus and state checks pass. No real screen-reader or rendered-browser acceptance evidence.</x:v>
      </x:c>
    </x:row>
    <x:row r="28" ht="52" customHeight="1">
      <x:c r="A28" s="11" t="str">
        <x:v>R03</x:v>
      </x:c>
      <x:c r="B28" s="11" t="str">
        <x:v>Fonts / assets</x:v>
      </x:c>
      <x:c r="C28" s="11" t="str">
        <x:v>Verification pending</x:v>
      </x:c>
      <x:c r="D28" s="12" t="str">
        <x:v>P1</x:v>
      </x:c>
      <x:c r="E28" s="11" t="str">
        <x:v>DOM tests simulate FontFace. Real decoding, remote loading and rendered assets remain unverified.</x:v>
      </x:c>
      <x:c r="F28" s="11" t="str">
        <x:v>Test real font and asset loading, failure and fallback.</x:v>
      </x:c>
      <x:c r="G28" s="11" t="str">
        <x:v>Upload valid/invalid fonts. Block remote fonts. Reload. Check weights, fallback, SVG/raster references and unsupported files.</x:v>
      </x:c>
      <x:c r="H28" s="11" t="str">
        <x:v>Latest report: Remaining tasks / Fonts/assets. typography.js; icons.js</x:v>
      </x:c>
      <x:c r="I28" s="11" t="str">
        <x:v>Read/load failure and stale-upload logic tested in DOM. Real renderer still required.</x:v>
      </x:c>
    </x:row>
    <x:row r="29" ht="60" customHeight="1">
      <x:c r="A29" s="11" t="str">
        <x:v>R04</x:v>
      </x:c>
      <x:c r="B29" s="11" t="str">
        <x:v>Export integration</x:v>
      </x:c>
      <x:c r="C29" s="11" t="str">
        <x:v>Verification pending</x:v>
      </x:c>
      <x:c r="D29" s="12" t="str">
        <x:v>P1</x:v>
      </x:c>
      <x:c r="E29" s="11" t="str">
        <x:v>Copied recipes have not been rendered in a separate recipient application.</x:v>
      </x:c>
      <x:c r="F29" s="11" t="str">
        <x:v>Standalone recipient fixture, validated Foundation import and token-parity checks are implemented; rendered comparison remains open.</x:v>
      </x:c>
      <x:c r="G29" s="11" t="str">
        <x:v>Load Export Foundation JSON into audit/recipient-fixture.html. Compare themes, units, roles, fonts, assets and states.</x:v>
      </x:c>
      <x:c r="H29" s="11" t="str">
        <x:v>audit/recipient-fixture.html; foundation-import.js; tests/foundation-release.test.cjs</x:v>
      </x:c>
      <x:c r="I29" s="11" t="str">
        <x:v>Model and integrated DOM recipient token parity pass. Real recipient painting and copied component recipes still require browser evidence.</x:v>
      </x:c>
    </x:row>
    <x:row r="30" ht="52" customHeight="1">
      <x:c r="A30" s="11" t="str">
        <x:v>R05</x:v>
      </x:c>
      <x:c r="B30" s="11" t="str">
        <x:v>Settings migration</x:v>
      </x:c>
      <x:c r="C30" s="11" t="str">
        <x:v>Implemented</x:v>
      </x:c>
      <x:c r="D30" s="12" t="str">
        <x:v>P2</x:v>
      </x:c>
      <x:c r="E30" s="11" t="str">
        <x:v>Foundation editors lack one consistent versioned-record migration framework.</x:v>
      </x:c>
      <x:c r="F30" s="11" t="str">
        <x:v>Shared schemaVersion 1 migration, validation, future/malformed record preservation, backup and explicit reset.</x:v>
      </x:c>
      <x:c r="G30" s="11" t="str">
        <x:v>Run the 15-schema recovery cases; check reset then subsequent save.</x:v>
      </x:c>
      <x:c r="H30" s="11" t="str">
        <x:v>foundation-model.js; shell.js; foundation-runtime.js; audit/pending-tasks-2026-10-08.json</x:v>
      </x:c>
      <x:c r="I30" s="11" t="str">
        <x:v>All 15 schemas pass integrated future-record preservation, reset and subsequent save; legacy model fixtures pass.</x:v>
      </x:c>
    </x:row>
    <x:row r="31" ht="60" customHeight="1">
      <x:c r="A31" s="11" t="str">
        <x:v>R06</x:v>
      </x:c>
      <x:c r="B31" s="11" t="str">
        <x:v>Original audit backlog</x:v>
      </x:c>
      <x:c r="C31" s="11" t="str">
        <x:v>Partial</x:v>
      </x:c>
      <x:c r="D31" s="12" t="str">
        <x:v>P1</x:v>
      </x:c>
      <x:c r="E31" s="11" t="str">
        <x:v>The latest functional pass does not close all 100 original requirements.</x:v>
      </x:c>
      <x:c r="F31" s="11" t="str">
        <x:v>Generated section contracts, model/source fixes and full 100-ID reconciliation are saved.</x:v>
      </x:c>
      <x:c r="G31" s="11" t="str">
        <x:v>Complete the 14 acceptance-pending original findings using a real browser, assets and assistive technology.</x:v>
      </x:c>
      <x:c r="H31" s="11" t="str">
        <x:v>foundation-pending-task-completion-2026-10-08.md; audit/foundation-task-status-2026-10-08.json</x:v>
      </x:c>
      <x:c r="I31" s="11" t="str">
        <x:v>86 source/documentation requirements implemented; 14 remain Partial because acceptance evidence is unavailable. No rendered checks are closed.</x:v>
      </x:c>
    </x:row>
    <x:row r="32" ht="52" customHeight="1">
      <x:c r="A32" s="11" t="str">
        <x:v>N01</x:v>
      </x:c>
      <x:c r="B32" s="11" t="str">
        <x:v>Borders state documentation</x:v>
      </x:c>
      <x:c r="C32" s="11" t="str">
        <x:v>Implemented</x:v>
      </x:c>
      <x:c r="D32" s="12" t="str">
        <x:v>P1</x:v>
      </x:c>
      <x:c r="E32" s="11" t="str">
        <x:v>Documentation promises independently editable width, opacity and style. State rows expose fixed geometry and color editors.</x:v>
      </x:c>
      <x:c r="F32" s="11" t="str">
        <x:v>Label state geometry fixed; distinguish editable base recipe and per-state colors. Correct live-application guidance.</x:v>
      </x:c>
      <x:c r="G32" s="11" t="str">
        <x:v>Compare state rows with Implementation contract and copied configuration.</x:v>
      </x:c>
      <x:c r="H32" s="11" t="str">
        <x:v>borders.html:425; borders.html:426; borders.js</x:v>
      </x:c>
      <x:c r="I32" s="11" t="str">
        <x:v>Source corrected in borders.html. Full DOM save, copy and border matrix pass.</x:v>
      </x:c>
    </x:row>
    <x:row r="33" ht="52" customHeight="1">
      <x:c r="A33" s="11" t="str">
        <x:v>N02</x:v>
      </x:c>
      <x:c r="B33" s="11" t="str">
        <x:v>Shadows state example</x:v>
      </x:c>
      <x:c r="C33" s="11" t="str">
        <x:v>Implemented</x:v>
      </x:c>
      <x:c r="D33" s="12" t="str">
        <x:v>P2</x:v>
      </x:c>
      <x:c r="E33" s="11" t="str">
        <x:v>Interactive-card preview labels pressed XS but the third example uses --shadow-sm.</x:v>
      </x:c>
      <x:c r="F33" s="11" t="str">
        <x:v>Pressed uses --shadow-xs; button XS also corrected. Static bordered/elevated/interactive cards now have explicit recipes.</x:v>
      </x:c>
      <x:c r="G33" s="11" t="str">
        <x:v>Compare SM → MD → XS. Verify rendered elevation in the browser acceptance pass.</x:v>
      </x:c>
      <x:c r="H33" s="11" t="str">
        <x:v>shadows.html:328</x:v>
      </x:c>
      <x:c r="I33" s="11" t="str">
        <x:v>Source corrected in shadows.html; runtime shadow model/import and local export checks pass.</x:v>
      </x:c>
    </x:row>
    <x:row r="34" ht="52" customHeight="1">
      <x:c r="A34" s="11" t="str">
        <x:v>N03</x:v>
      </x:c>
      <x:c r="B34" s="11" t="str">
        <x:v>Library copy failure</x:v>
      </x:c>
      <x:c r="C34" s="11" t="str">
        <x:v>Implemented</x:v>
      </x:c>
      <x:c r="D34" s="12" t="str">
        <x:v>P1</x:v>
      </x:c>
      <x:c r="E34" s="11" t="str">
        <x:v>65 page drivers reported Copied even when clipboard and fallback failed.</x:v>
      </x:c>
      <x:c r="F34" s="11" t="str">
        <x:v>Shared awaited copy feedback checks actual success and announces manual-copy recovery.</x:v>
      </x:c>
      <x:c r="G34" s="11" t="str">
        <x:v>Copy with normal API, denied API and failing/successful legacy fallback; preserve focus.</x:v>
      </x:c>
      <x:c r="H34" s="11" t="str">
        <x:v>shell.js; all component detail scripts; patterns.js; templates.js</x:v>
      </x:c>
      <x:c r="I34" s="11" t="str">
        <x:v>131 component pages plus Patterns/Templates pass copy success/failure/focus paths.</x:v>
      </x:c>
    </x:row>
    <x:row r="35" ht="52" customHeight="1">
      <x:c r="A35" s="11" t="str">
        <x:v>N04</x:v>
      </x:c>
      <x:c r="B35" s="11" t="str">
        <x:v>Copied component context</x:v>
      </x:c>
      <x:c r="C35" s="11" t="str">
        <x:v>Implemented</x:v>
      </x:c>
      <x:c r="D35" s="12" t="str">
        <x:v>P1</x:v>
      </x:c>
      <x:c r="E35" s="11" t="str">
        <x:v>Component/pattern/template prompts missed current settings and dimension equivalence.</x:v>
      </x:c>
      <x:c r="F35" s="11" t="str">
        <x:v>Prepare page Markdown with current applied snapshot and both units; keep code outputs valid code.</x:v>
      </x:c>
      <x:c r="G35" s="11" t="str">
        <x:v>Change Spacing then copy each prompt; compare applied setting and px/rem values.</x:v>
      </x:c>
      <x:c r="H35" s="11" t="str">
        <x:v>foundation-runtime.js; component detail scripts; patterns.js; templates.js</x:v>
      </x:c>
      <x:c r="I35" s="11" t="str">
        <x:v>Each of 133 library pages passed a changed-setting prompt check.</x:v>
      </x:c>
    </x:row>
    <x:row r="36" ht="60" customHeight="1">
      <x:c r="A36" s="11" t="str">
        <x:v>N05</x:v>
      </x:c>
      <x:c r="B36" s="11" t="str">
        <x:v>Splitter live interactions</x:v>
      </x:c>
      <x:c r="C36" s="11" t="str">
        <x:v>Implemented</x:v>
      </x:c>
      <x:c r="D36" s="12" t="str">
        <x:v>P1</x:v>
      </x:c>
      <x:c r="E36" s="11" t="str">
        <x:v>Divider was pointer-only with no min panes, saved ratio or cancellation recovery.</x:v>
      </x:c>
      <x:c r="F36" s="11" t="str">
        <x:v>Accessible separator controller, RTL/vertical keyboard, collapse/restore, physical minima, pointer cancel and versioned persistence.</x:v>
      </x:c>
      <x:c r="G36" s="11" t="str">
        <x:v>Arrow/Shift/Home/End/Enter; cancel pointer; reload width; future record; failed reset then retry.</x:v>
      </x:c>
      <x:c r="H36" s="11" t="str">
        <x:v>splitter-runtime.js; splitter-detail.js; splitter-default.html</x:v>
      </x:c>
      <x:c r="I36" s="11" t="str">
        <x:v>Actual page-script interaction, bounds, save, reset and future-record scenarios pass; physical drag layout pending.</x:v>
      </x:c>
    </x:row>
    <x:row r="37" ht="52" customHeight="1">
      <x:c r="A37" s="11" t="str">
        <x:v>N06</x:v>
      </x:c>
      <x:c r="B37" s="11" t="str">
        <x:v>Responsive layout patterns</x:v>
      </x:c>
      <x:c r="C37" s="11" t="str">
        <x:v>Implemented</x:v>
      </x:c>
      <x:c r="D37" s="12" t="str">
        <x:v>P1</x:v>
      </x:c>
      <x:c r="E37" s="11" t="str">
        <x:v>Eight patterns lacked buildable transitions; Master-Detail had no working state/focus example.</x:v>
      </x:c>
      <x:c r="F37" s="11" t="str">
        <x:v>Per-pattern contracts plus executable selected/empty/loading/error/retry/back example and stale-request protection.</x:v>
      </x:c>
      <x:c r="G37" s="11" t="str">
        <x:v>Select record, Back, retry error, clear during load, cross narrow/wide threshold.</x:v>
      </x:c>
      <x:c r="H37" s="11" t="str">
        <x:v>layout-patterns.js; foundation-contract.json; grid-layout.html</x:v>
      </x:c>
      <x:c r="I37" s="11" t="str">
        <x:v>Simulated media transitions, list position, focus return, loading/error and stale cancellation pass.</x:v>
      </x:c>
    </x:row>
    <x:row r="38" ht="52" customHeight="1">
      <x:c r="A38" s="11" t="str">
        <x:v>N07</x:v>
      </x:c>
      <x:c r="B38" s="11" t="str">
        <x:v>Data value edge cases</x:v>
      </x:c>
      <x:c r="C38" s="11" t="str">
        <x:v>Implemented</x:v>
      </x:c>
      <x:c r="D38" s="12" t="str">
        <x:v>P1</x:v>
      </x:c>
      <x:c r="E38" s="11" t="str">
        <x:v>IDs/phones formatted as quantities, dates aligned as numbers, Unicode masks split characters and invalid ranges leaked.</x:v>
      </x:c>
      <x:c r="F38" s="11" t="str">
        <x:v>Protect identity labels/leading zeros; numeric-only alignment; code-point masks; ordered valid ranges.</x:v>
      </x:c>
      <x:c r="G38" s="11" t="str">
        <x:v>Format IDs, phone, boolean/blank number, date-only values, reverse range and emoji masks.</x:v>
      </x:c>
      <x:c r="H38" s="11" t="str">
        <x:v>foundation-model.js; foundation-runtime.js; tests/foundation-followup.test.cjs</x:v>
      </x:c>
      <x:c r="I38" s="11" t="str">
        <x:v>Model fixtures and actual table value/alignment checks pass.</x:v>
      </x:c>
    </x:row>
    <x:row r="39" ht="52" customHeight="1">
      <x:c r="A39" s="11" t="str">
        <x:v>N08</x:v>
      </x:c>
      <x:c r="B39" s="11" t="str">
        <x:v>Header icon hover</x:v>
      </x:c>
      <x:c r="C39" s="11" t="str">
        <x:v>Implemented</x:v>
      </x:c>
      <x:c r="D39" s="12" t="str">
        <x:v>P1</x:v>
      </x:c>
      <x:c r="E39" s="11" t="str">
        <x:v>Header default and hover mapped to the same text color.</x:v>
      </x:c>
      <x:c r="F39" s="11" t="str">
        <x:v>Hover Brand and active pressed Brand apply to icon-only header controls.</x:v>
      </x:c>
      <x:c r="G39" s="11" t="str">
        <x:v>Hover settings/theme/navigation and banner actions; verify currentColor paths/masks.</x:v>
      </x:c>
      <x:c r="H39" s="11" t="str">
        <x:v>foundation.css; experience.css</x:v>
      </x:c>
      <x:c r="I39" s="11" t="str">
        <x:v>Different state tokens are present; real hover painting still needs browser.</x:v>
      </x:c>
    </x:row>
    <x:row r="40" ht="52" customHeight="1">
      <x:c r="A40" s="11" t="str">
        <x:v>N09</x:v>
      </x:c>
      <x:c r="B40" s="11" t="str">
        <x:v>Contrast pill foregrounds</x:v>
      </x:c>
      <x:c r="C40" s="11" t="str">
        <x:v>Implemented</x:v>
      </x:c>
      <x:c r="D40" s="12" t="str">
        <x:v>P1</x:v>
      </x:c>
      <x:c r="E40" s="11" t="str">
        <x:v>12px status pills could be unreadable on their own tinted backgrounds.</x:v>
      </x:c>
      <x:c r="F40" s="11" t="str">
        <x:v>Derive foreground/background pairs with at least 4.5:1, retaining 12px Regular.</x:v>
      </x:c>
      <x:c r="G40" s="11" t="str">
        <x:v>Check pass/fail pairs in both themes and white/dark/blue panels.</x:v>
      </x:c>
      <x:c r="H40" s="11" t="str">
        <x:v>foundation-model.js; foundation.css; tests/foundation-followup.test.cjs</x:v>
      </x:c>
      <x:c r="I40" s="11" t="str">
        <x:v>Custom/default panel contrast fixtures pass.</x:v>
      </x:c>
    </x:row>
    <x:row r="41" ht="52" customHeight="1">
      <x:c r="A41" s="11" t="str">
        <x:v>N10</x:v>
      </x:c>
      <x:c r="B41" s="11" t="str">
        <x:v>Incomplete typed token publish</x:v>
      </x:c>
      <x:c r="C41" s="11" t="str">
        <x:v>Implemented</x:v>
      </x:c>
      <x:c r="D41" s="12" t="str">
        <x:v>P1</x:v>
      </x:c>
      <x:c r="E41" s="11" t="str">
        <x:v>Published token file omitted runtime semantic roles and metrics.</x:v>
      </x:c>
      <x:c r="F41" s="11" t="str">
        <x:v>Generate from the shared default resolver, both themes, with source/model/contract freshness.</x:v>
      </x:c>
      <x:c r="G41" s="11" t="str">
        <x:v>Independent import; compare all property names and representative values; reject invalid/cyclic inputs.</x:v>
      </x:c>
      <x:c r="H41" s="11" t="str">
        <x:v>tools/generate_tokens.py; tools/dtcg-import.cjs; tests/foundation-release.test.cjs</x:v>
      </x:c>
      <x:c r="I41" s="11" t="str">
        <x:v>613 typed tokens + 21 explicit CSS-only keywords restore all 634 default properties in each mode.</x:v>
      </x:c>
    </x:row>
    <x:row r="42" ht="52" customHeight="1">
      <x:c r="A42" s="11" t="str">
        <x:v>U01</x:v>
      </x:c>
      <x:c r="B42" s="11" t="str">
        <x:v>Foundation audit and task report</x:v>
      </x:c>
      <x:c r="C42" s="11" t="str">
        <x:v>Implemented</x:v>
      </x:c>
      <x:c r="D42" s="12" t="str">
        <x:v>P1</x:v>
      </x:c>
      <x:c r="E42" s="11" t="str">
        <x:v>Earlier tracker did not show each original finding separately.</x:v>
      </x:c>
      <x:c r="F42" s="11" t="str">
        <x:v>Retain all 100 findings and their own source references; keep 14 acceptance rows open.</x:v>
      </x:c>
      <x:c r="G42" s="11" t="str">
        <x:v>Filter Original findings; compare ID, current evidence and remaining task.</x:v>
      </x:c>
      <x:c r="H42" s="11" t="str">
        <x:v>foundation-audit-report-2026-10-05.md; audit/foundation-finding-evidence-2026-10-08.json</x:v>
      </x:c>
      <x:c r="I42" s="11" t="str">
        <x:v>100 unique IDs, problems, recommendations and historical statuses retained.</x:v>
      </x:c>
    </x:row>
    <x:row r="43" ht="52" customHeight="1">
      <x:c r="A43" s="11" t="str">
        <x:v>U02</x:v>
      </x:c>
      <x:c r="B43" s="11" t="str">
        <x:v>Blue structural boundaries</x:v>
      </x:c>
      <x:c r="C43" s="11" t="str">
        <x:v>Partial</x:v>
      </x:c>
      <x:c r="D43" s="12" t="str">
        <x:v>P1</x:v>
      </x:c>
      <x:c r="E43" s="11" t="str">
        <x:v>Brand-colored borders appeared on page containers and sections.</x:v>
      </x:c>
      <x:c r="F43" s="11" t="str">
        <x:v>Structural panels use neutral line tokens; focus/selected specimens retain semantic treatment.</x:v>
      </x:c>
      <x:c r="G43" s="11" t="str">
        <x:v>Inspect unfocused containers, then keyboard focus, in both themes and custom Brand.</x:v>
      </x:c>
      <x:c r="H43" s="11" t="str">
        <x:v>foundation.css; shell.css; foundation-model.js</x:v>
      </x:c>
      <x:c r="I43" s="11" t="str">
        <x:v>Source distinguishes neutral containers from focus/state tokens. Real screenshot comparison still required.</x:v>
      </x:c>
    </x:row>
    <x:row r="44" ht="52" customHeight="1">
      <x:c r="A44" s="11" t="str">
        <x:v>U03</x:v>
      </x:c>
      <x:c r="B44" s="11" t="str">
        <x:v>Inner input strokes</x:v>
      </x:c>
      <x:c r="C44" s="11" t="str">
        <x:v>Partial</x:v>
      </x:c>
      <x:c r="D44" s="12" t="str">
        <x:v>P1</x:v>
      </x:c>
      <x:c r="E44" s="11" t="str">
        <x:v>Text inside composite fields gained a second border.</x:v>
      </x:c>
      <x:c r="F44" s="11" t="str">
        <x:v>Composite wrapper owns border/focus; inner input border is zero.</x:v>
      </x:c>
      <x:c r="G44" s="11" t="str">
        <x:v>Check outlined/filled/underlined Input, Password, Number and Search in every state.</x:v>
      </x:c>
      <x:c r="H44" s="11" t="str">
        <x:v>foundation.css:50; input-detail.js</x:v>
      </x:c>
      <x:c r="I44" s="11" t="str">
        <x:v>Composite CSS reset is present. Actual native field rendering remains pending.</x:v>
      </x:c>
    </x:row>
    <x:row r="45" ht="52" customHeight="1">
      <x:c r="A45" s="11" t="str">
        <x:v>U04</x:v>
      </x:c>
      <x:c r="B45" s="11" t="str">
        <x:v>Page and sidebar spacing</x:v>
      </x:c>
      <x:c r="C45" s="11" t="str">
        <x:v>Partial</x:v>
      </x:c>
      <x:c r="D45" s="12" t="str">
        <x:v>P1</x:v>
      </x:c>
      <x:c r="E45" s="11" t="str">
        <x:v>Margins, gutters, section gaps and side spacing were unequal.</x:v>
      </x:c>
      <x:c r="F45" s="11" t="str">
        <x:v>Shared logical gutters, stable mirrored scrollbar space and one owner per section gap.</x:v>
      </x:c>
      <x:c r="G45" s="11" t="str">
        <x:v>Measure both content edges and sidebar in wide/narrow widths; expand content and retest.</x:v>
      </x:c>
      <x:c r="H45" s="11" t="str">
        <x:v>foundation.css:18; foundation.css:171; shell.css</x:v>
      </x:c>
      <x:c r="I45" s="11" t="str">
        <x:v>Shared source rules present; computed box geometry needs a connected renderer.</x:v>
      </x:c>
    </x:row>
    <x:row r="46" ht="52" customHeight="1">
      <x:c r="A46" s="11" t="str">
        <x:v>U05</x:v>
      </x:c>
      <x:c r="B46" s="11" t="str">
        <x:v>Dropdown alignment</x:v>
      </x:c>
      <x:c r="C46" s="11" t="str">
        <x:v>Partial</x:v>
      </x:c>
      <x:c r="D46" s="12" t="str">
        <x:v>P1</x:v>
      </x:c>
      <x:c r="E46" s="11" t="str">
        <x:v>Unit and other dropdowns did not align with adjacent fields.</x:v>
      </x:c>
      <x:c r="F46" s="11" t="str">
        <x:v>Consistent control height, padding and arrow inset; responsive minimum widths.</x:v>
      </x:c>
      <x:c r="G46" s="11" t="str">
        <x:v>Compare select/input baseline and bounds at 320/375/768/1440px.</x:v>
      </x:c>
      <x:c r="H46" s="11" t="str">
        <x:v>foundation.css:74; shell.css:1227</x:v>
      </x:c>
      <x:c r="I46" s="11" t="str">
        <x:v>Control CSS and DOM interaction pass; native popup placement requires browser verification.</x:v>
      </x:c>
    </x:row>
    <x:row r="47" ht="52" customHeight="1">
      <x:c r="A47" s="11" t="str">
        <x:v>U06</x:v>
      </x:c>
      <x:c r="B47" s="11" t="str">
        <x:v>H1-H6, Body and Paragraph</x:v>
      </x:c>
      <x:c r="C47" s="11" t="str">
        <x:v>Implemented</x:v>
      </x:c>
      <x:c r="D47" s="12" t="str">
        <x:v>P1</x:v>
      </x:c>
      <x:c r="E47" s="11" t="str">
        <x:v>Section headings were larger than page titles and used conflicting sizes.</x:v>
      </x:c>
      <x:c r="F47" s="11" t="str">
        <x:v>Restore standard H1-H6 defaults and bind every role metric to shared tokens.</x:v>
      </x:c>
      <x:c r="G47" s="11" t="str">
        <x:v>Reset Typography; inspect hierarchy; change size, weight, line height, tracking and color.</x:v>
      </x:c>
      <x:c r="H47" s="11" t="str">
        <x:v>foundation-model.js; foundation.css:5; tests/foundation-typography.test.cjs</x:v>
      </x:c>
      <x:c r="I47" s="11" t="str">
        <x:v>Role resolution, legacy migration, metric bindings and editor option checks pass. Visual release acceptance remains separate.</x:v>
      </x:c>
    </x:row>
    <x:row r="48" ht="52" customHeight="1">
      <x:c r="A48" s="11" t="str">
        <x:v>U07</x:v>
      </x:c>
      <x:c r="B48" s="11" t="str">
        <x:v>Default Inter and live typography</x:v>
      </x:c>
      <x:c r="C48" s="11" t="str">
        <x:v>Implemented</x:v>
      </x:c>
      <x:c r="D48" s="12" t="str">
        <x:v>P1</x:v>
      </x:c>
      <x:c r="E48" s="11" t="str">
        <x:v>Selected font and typography values did not propagate across the design.</x:v>
      </x:c>
      <x:c r="F48" s="11" t="str">
        <x:v>Default headings/body use Inter; live shared resolver applies family and every role metric.</x:v>
      </x:c>
      <x:c r="G48" s="11" t="str">
        <x:v>Change font; navigate; reload; inspect exported source/assets and copied current context.</x:v>
      </x:c>
      <x:c r="H48" s="11" t="str">
        <x:v>foundation-runtime.js; typography.js; foundation-defaults.json</x:v>
      </x:c>
      <x:c r="I48" s="11" t="str">
        <x:v>Model/DOM bindings and durable settings pass. Real font decoding is an open asset check.</x:v>
      </x:c>
    </x:row>
    <x:row r="49" ht="52" customHeight="1">
      <x:c r="A49" s="11" t="str">
        <x:v>U08</x:v>
      </x:c>
      <x:c r="B49" s="11" t="str">
        <x:v>11px Caption descriptions</x:v>
      </x:c>
      <x:c r="C49" s="11" t="str">
        <x:v>Implemented</x:v>
      </x:c>
      <x:c r="D49" s="12" t="str">
        <x:v>P1</x:v>
      </x:c>
      <x:c r="E49" s="11" t="str">
        <x:v>Contrast labels and metadata used oversized body copy.</x:v>
      </x:c>
      <x:c r="F49" s="11" t="str">
        <x:v>Caption metadata follows the 11px default Caption role and full role metrics.</x:v>
      </x:c>
      <x:c r="G49" s="11" t="str">
        <x:v>Inspect contrast descriptions, RGB readouts, eyebrows and helpers; test Caption customization.</x:v>
      </x:c>
      <x:c r="H49" s="11" t="str">
        <x:v>foundation.css:217; foundation.css:234; foundation-model.js</x:v>
      </x:c>
      <x:c r="I49" s="11" t="str">
        <x:v>All metadata bindings use Caption metrics; rendered sizing remains part of acceptance.</x:v>
      </x:c>
    </x:row>
    <x:row r="50" ht="52" customHeight="1">
      <x:c r="A50" s="11" t="str">
        <x:v>U09</x:v>
      </x:c>
      <x:c r="B50" s="11" t="str">
        <x:v>12px Regular pills</x:v>
      </x:c>
      <x:c r="C50" s="11" t="str">
        <x:v>Implemented</x:v>
      </x:c>
      <x:c r="D50" s="12" t="str">
        <x:v>P1</x:v>
      </x:c>
      <x:c r="E50" s="11" t="str">
        <x:v>Contrast pills needed 12px Regular typography.</x:v>
      </x:c>
      <x:c r="F50" s="11" t="str">
        <x:v>Contrast tags use 12px, weight 400, with readable own-background pass/fail foregrounds.</x:v>
      </x:c>
      <x:c r="G50" s="11" t="str">
        <x:v>Inspect AA/AAA and Non-text 3:1 pills in light/dark and custom panels.</x:v>
      </x:c>
      <x:c r="H50" s="11" t="str">
        <x:v>shell.css:891; foundation.css; tests/foundation-followup.test.cjs</x:v>
      </x:c>
      <x:c r="I50" s="11" t="str">
        <x:v>12px/400 source binding and 4.5:1 default/custom panel model checks pass.</x:v>
      </x:c>
    </x:row>
    <x:row r="51" ht="52" customHeight="1">
      <x:c r="A51" s="11" t="str">
        <x:v>U10</x:v>
      </x:c>
      <x:c r="B51" s="11" t="str">
        <x:v>Four-line Read More/Less</x:v>
      </x:c>
      <x:c r="C51" s="11" t="str">
        <x:v>Partial</x:v>
      </x:c>
      <x:c r="D51" s="12" t="str">
        <x:v>P1</x:v>
      </x:c>
      <x:c r="E51" s="11" t="str">
        <x:v>Long descriptions expanded too far and toggles appeared inconsistently.</x:v>
      </x:c>
      <x:c r="F51" s="11" t="str">
        <x:v>Measure prose overflow against four line heights; only overflowing content gets an accessible expand/collapse button.</x:v>
      </x:c>
      <x:c r="G51" s="11" t="str">
        <x:v>Check 3/4/5-line prose, resize, expand/collapse, keyboard and text-spacing overrides.</x:v>
      </x:c>
      <x:c r="H51" s="11" t="str">
        <x:v>foundation-runtime.js:210; foundation.css:163</x:v>
      </x:c>
      <x:c r="I51" s="11" t="str">
        <x:v>Four-line measurement/clamp and retained expansion implemented; actual line wrapping cannot be certified in jsdom.</x:v>
      </x:c>
    </x:row>
    <x:row r="52" ht="52" customHeight="1">
      <x:c r="A52" s="11" t="str">
        <x:v>U11</x:v>
      </x:c>
      <x:c r="B52" s="11" t="str">
        <x:v>Tabs into Group Button</x:v>
      </x:c>
      <x:c r="C52" s="11" t="str">
        <x:v>Implemented</x:v>
      </x:c>
      <x:c r="D52" s="12" t="str">
        <x:v>P1</x:v>
      </x:c>
      <x:c r="E52" s="11" t="str">
        <x:v>Section tabs used unjoined underlined links.</x:v>
      </x:c>
      <x:c r="F52" s="11" t="str">
        <x:v>Joined Outlined Group Button tracks with active state, focus and keyboard behavior.</x:v>
      </x:c>
      <x:c r="G52" s="11" t="str">
        <x:v>Click every section and Human/Machine choice; use arrows/Home/End; check overflow track.</x:v>
      </x:c>
      <x:c r="H52" s="11" t="str">
        <x:v>experience.js; foundation.css:242; experience.css:5</x:v>
      </x:c>
      <x:c r="I52" s="11" t="str">
        <x:v>Group navigation regression tests and 14-page section/view checks pass.</x:v>
      </x:c>
    </x:row>
    <x:row r="53" ht="52" customHeight="1">
      <x:c r="A53" s="11" t="str">
        <x:v>U12</x:v>
      </x:c>
      <x:c r="B53" s="11" t="str">
        <x:v>Letter-spacing field height</x:v>
      </x:c>
      <x:c r="C53" s="11" t="str">
        <x:v>Implemented</x:v>
      </x:c>
      <x:c r="D53" s="12" t="str">
        <x:v>P1</x:v>
      </x:c>
      <x:c r="E53" s="11" t="str">
        <x:v>Tracking input did not match neighboring typography fields.</x:v>
      </x:c>
      <x:c r="F53" s="11" t="str">
        <x:v>One shared type-editor control height applies to input and unit select.</x:v>
      </x:c>
      <x:c r="G53" s="11" t="str">
        <x:v>Compare tracking, line-height, font and size fields after unit/font changes.</x:v>
      </x:c>
      <x:c r="H53" s="11" t="str">
        <x:v>foundation.css:83; shell.css:1227</x:v>
      </x:c>
      <x:c r="I53" s="11" t="str">
        <x:v>Identical height, box sizing, typography and border recipe present; rendered geometry pending.</x:v>
      </x:c>
    </x:row>
    <x:row r="54" ht="52" customHeight="1">
      <x:c r="A54" s="11" t="str">
        <x:v>U13</x:v>
      </x:c>
      <x:c r="B54" s="11" t="str">
        <x:v>Gap between tracking/unit fields</x:v>
      </x:c>
      <x:c r="C54" s="11" t="str">
        <x:v>Implemented</x:v>
      </x:c>
      <x:c r="D54" s="12" t="str">
        <x:v>P1</x:v>
      </x:c>
      <x:c r="E54" s="11" t="str">
        <x:v>Paired tracking and unit fields used a different gap.</x:v>
      </x:c>
      <x:c r="F54" s="11" t="str">
        <x:v>Tracking pair uses the same 16px spacing token, flexible numeric width and bounded select.</x:v>
      </x:c>
      <x:c r="G54" s="11" t="str">
        <x:v>Compare paired input gap with adjacent editor columns at multiple widths.</x:v>
      </x:c>
      <x:c r="H54" s="11" t="str">
        <x:v>shell.css:1230</x:v>
      </x:c>
      <x:c r="I54" s="11" t="str">
        <x:v>Specific tracking selector uses --space-16; shared 4px wrapper rule does not override its higher specificity.</x:v>
      </x:c>
    </x:row>
    <x:row r="55" ht="52" customHeight="1">
      <x:c r="A55" s="11" t="str">
        <x:v>U14</x:v>
      </x:c>
      <x:c r="B55" s="11" t="str">
        <x:v>px/rem relevance and interaction</x:v>
      </x:c>
      <x:c r="C55" s="11" t="str">
        <x:v>Implemented</x:v>
      </x:c>
      <x:c r="D55" s="12" t="str">
        <x:v>P1</x:v>
      </x:c>
      <x:c r="E55" s="11" t="str">
        <x:v>Unit selection failed and was shown on unrelated pages.</x:v>
      </x:c>
      <x:c r="F55" s="11" t="str">
        <x:v>Working shared radios/paired controls; toolbar unit choice appears on seven dimensional Foundations.</x:v>
      </x:c>
      <x:c r="G55" s="11" t="str">
        <x:v>Switch px/rem on Typography, Grid, Spacing, Radius, Borders, Shadows, Icons; inspect conversion/save/copy.</x:v>
      </x:c>
      <x:c r="H55" s="11" t="str">
        <x:v>foundation-runtime.js:8; tests/foundation-units.test.cjs</x:v>
      </x:c>
      <x:c r="I55" s="11" t="str">
        <x:v>Both units and 224 theme/unit/density/direction cases pass. Colors/AI/Guidelines do not get irrelevant unit selectors.</x:v>
      </x:c>
    </x:row>
    <x:row r="56" ht="52" customHeight="1">
      <x:c r="A56" s="11" t="str">
        <x:v>U15</x:v>
      </x:c>
      <x:c r="B56" s="11" t="str">
        <x:v>Right-aligned Foundation JSON export</x:v>
      </x:c>
      <x:c r="C56" s="11" t="str">
        <x:v>Implemented</x:v>
      </x:c>
      <x:c r="D56" s="12" t="str">
        <x:v>P1</x:v>
      </x:c>
      <x:c r="E56" s="11" t="str">
        <x:v>Export Foundation JSON stayed beside the unit labels.</x:v>
      </x:c>
      <x:c r="F56" s="11" t="str">
        <x:v>Auto start margin sends export to the right; narrow layouts wrap within available width.</x:v>
      </x:c>
      <x:c r="G56" s="11" t="str">
        <x:v>Inspect toolbar with and without unit selector; narrow width and long labels.</x:v>
      </x:c>
      <x:c r="H56" s="11" t="str">
        <x:v>foundation.css:64</x:v>
      </x:c>
      <x:c r="I56" s="11" t="str">
        <x:v>Responsive flex rule present. Current JSON export passed on all nine Foundations.</x:v>
      </x:c>
    </x:row>
    <x:row r="57" ht="52" customHeight="1">
      <x:c r="A57" s="11" t="str">
        <x:v>U16</x:v>
      </x:c>
      <x:c r="B57" s="11" t="str">
        <x:v>px and rem in Markdown</x:v>
      </x:c>
      <x:c r="C57" s="11" t="str">
        <x:v>Implemented</x:v>
      </x:c>
      <x:c r="D57" s="12" t="str">
        <x:v>P1</x:v>
      </x:c>
      <x:c r="E57" s="11" t="str">
        <x:v>Copied prompts omitted equivalent rem values.</x:v>
      </x:c>
      <x:c r="F57" s="11" t="str">
        <x:v>Dimensional prompts show both units; component, pattern and template prompts include current Foundation settings.</x:v>
      </x:c>
      <x:c r="G57" s="11" t="str">
        <x:v>Switch units; copy prompt; compare dimensions and current applied settings.</x:v>
      </x:c>
      <x:c r="H57" s="11" t="str">
        <x:v>foundation-model.js; foundation-runtime.js; all 63 component detail scripts</x:v>
      </x:c>
      <x:c r="I57" s="11" t="str">
        <x:v>All 131 component pages plus Patterns/Templates pass both-unit and changed-setting copy checks.</x:v>
      </x:c>
    </x:row>
    <x:row r="58" ht="52" customHeight="1">
      <x:c r="A58" s="11" t="str">
        <x:v>U17</x:v>
      </x:c>
      <x:c r="B58" s="11" t="str">
        <x:v>Consistent section/banner radius</x:v>
      </x:c>
      <x:c r="C58" s="11" t="str">
        <x:v>Implemented</x:v>
      </x:c>
      <x:c r="D58" s="12" t="str">
        <x:v>P1</x:v>
      </x:c>
      <x:c r="E58" s="11" t="str">
        <x:v>Project banner radius differed from other sections.</x:v>
      </x:c>
      <x:c r="F58" s="11" t="str">
        <x:v>Banner, panels, action buttons and joined groups use their matching semantic radius role.</x:v>
      </x:c>
      <x:c r="G58" s="11" t="str">
        <x:v>Change radius philosophy; compare banner/panel outer corners and inner controls.</x:v>
      </x:c>
      <x:c r="H58" s="11" t="str">
        <x:v>experience.css:8; foundation.css; radius.js</x:v>
      </x:c>
      <x:c r="I58" s="11" t="str">
        <x:v>Shared --radius-md role bindings and numeric-versus-semantic radius tests pass; pixel comparison pending.</x:v>
      </x:c>
    </x:row>
    <x:row r="59" ht="52" customHeight="1">
      <x:c r="A59" s="11" t="str">
        <x:v>U18</x:v>
      </x:c>
      <x:c r="B59" s="11" t="str">
        <x:v>Edit icon-only/right/Google</x:v>
      </x:c>
      <x:c r="C59" s="11" t="str">
        <x:v>Implemented</x:v>
      </x:c>
      <x:c r="D59" s="12" t="str">
        <x:v>P1</x:v>
      </x:c>
      <x:c r="E59" s="11" t="str">
        <x:v>Edit setup text CTA and icon placement/style did not match requested design.</x:v>
      </x:c>
      <x:c r="F59" s="11" t="str">
        <x:v>Use named Google Material edit icon, icon-only accessible CTA after Export on the right.</x:v>
      </x:c>
      <x:c r="G59" s="11" t="str">
        <x:v>Inspect accessible name, SVG provenance, ordering and activation.</x:v>
      </x:c>
      <x:c r="H59" s="11" t="str">
        <x:v>experience.js; experience.css:11; icon-catalog.json</x:v>
      </x:c>
      <x:c r="I59" s="11" t="str">
        <x:v>Reviewed licensed edit path, accessible name and DOM ordering are present.</x:v>
      </x:c>
    </x:row>
    <x:row r="60" ht="52" customHeight="1">
      <x:c r="A60" s="11" t="str">
        <x:v>U19</x:v>
      </x:c>
      <x:c r="B60" s="11" t="str">
        <x:v>Icon-only hover color</x:v>
      </x:c>
      <x:c r="C60" s="11" t="str">
        <x:v>Implemented</x:v>
      </x:c>
      <x:c r="D60" s="12" t="str">
        <x:v>P1</x:v>
      </x:c>
      <x:c r="E60" s="11" t="str">
        <x:v>Header icons hovered to their unchanged default foreground.</x:v>
      </x:c>
      <x:c r="F60" s="11" t="str">
        <x:v>Topbar icons and banner actions change to Brand on hover; active uses pressed Brand.</x:v>
      </x:c>
      <x:c r="G60" s="11" t="str">
        <x:v>Hover theme/settings/edit/close; check SVG/mask currentColor in both themes.</x:v>
      </x:c>
      <x:c r="H60" s="11" t="str">
        <x:v>foundation.css:262; experience.css:13</x:v>
      </x:c>
      <x:c r="I60" s="11" t="str">
        <x:v>Previously equal default/hover token fixed; currentColor icon source retained. Physical hover rendering pending.</x:v>
      </x:c>
    </x:row>
    <x:row r="61" ht="52" customHeight="1">
      <x:c r="A61" s="11" t="str">
        <x:v>U20</x:v>
      </x:c>
      <x:c r="B61" s="11" t="str">
        <x:v>Floating banner and Close</x:v>
      </x:c>
      <x:c r="C61" s="11" t="str">
        <x:v>Implemented</x:v>
      </x:c>
      <x:c r="D61" s="12" t="str">
        <x:v>P1</x:v>
      </x:c>
      <x:c r="E61" s="11" t="str">
        <x:v>Project context needed floating behavior and dismissal.</x:v>
      </x:c>
      <x:c r="F61" s="11" t="str">
        <x:v>Sticky context banner includes Close, restores focus and updates sticky scroll offset.</x:v>
      </x:c>
      <x:c r="G61" s="11" t="str">
        <x:v>Scroll content, close banner, navigate/reopen context and check focus/section reachability.</x:v>
      </x:c>
      <x:c r="H61" s="11" t="str">
        <x:v>experience.js; experience.css:9</x:v>
      </x:c>
      <x:c r="I61" s="11" t="str">
        <x:v>Sticky banner, explicit close state and context-height updates are present; scroll painting needs browser.</x:v>
      </x:c>
    </x:row>
    <x:row r="62" ht="52" customHeight="1">
      <x:c r="A62" s="11" t="str">
        <x:v>U21</x:v>
      </x:c>
      <x:c r="B62" s="11" t="str">
        <x:v>Blank space at scroll bottom</x:v>
      </x:c>
      <x:c r="C62" s="11" t="str">
        <x:v>Partial</x:v>
      </x:c>
      <x:c r="D62" s="12" t="str">
        <x:v>P1</x:v>
      </x:c>
      <x:c r="E62" s="11" t="str">
        <x:v>Scrolling exposed excess page tail/blank space.</x:v>
      </x:c>
      <x:c r="F62" s="11" t="str">
        <x:v>Viewport-bounded shell; main/sidebar scroll inside minmax row; consistent bottom padding; no elastic outer tail.</x:v>
      </x:c>
      <x:c r="G62" s="11" t="str">
        <x:v>Scroll every page to bottom at desktop/mobile and resize; check final content/actions remain reachable.</x:v>
      </x:c>
      <x:c r="H62" s="11" t="str">
        <x:v>foundation.css:175</x:v>
      </x:c>
      <x:c r="I62" s="11" t="str">
        <x:v>Shell height/min-height/overscroll and terminal section margin fixes present; physical scroll check still open.</x:v>
      </x:c>
    </x:row>
    <x:row r="63" ht="60" customHeight="1">
      <x:c r="A63" s="11" t="str">
        <x:v>U22</x:v>
      </x:c>
      <x:c r="B63" s="11" t="str">
        <x:v>Data Format alignment and controls</x:v>
      </x:c>
      <x:c r="C63" s="11" t="str">
        <x:v>Implemented</x:v>
      </x:c>
      <x:c r="D63" s="12" t="str">
        <x:v>P1</x:v>
      </x:c>
      <x:c r="E63" s="11" t="str">
        <x:v>Categories lacked customization; numeric values and rows aligned inconsistently.</x:v>
      </x:c>
      <x:c r="F63" s="11" t="str">
        <x:v>All 24 controls apply current formats; three-column rows and grouped separators; protect IDs/phones; date/range/Unicode recovery.</x:v>
      </x:c>
      <x:c r="G63" s="11" t="str">
        <x:v>Edit each format, save/reload/copy; test empty/loading/masked/escaped/date/number examples and invalid boundaries.</x:v>
      </x:c>
      <x:c r="H63" s="11" t="str">
        <x:v>data-format.js; foundation-runtime.js:84; foundation.css:97</x:v>
      </x:c>
      <x:c r="I63" s="11" t="str">
        <x:v>59 edits, all offered options, 48 locale/separator/group cases and identity/alignment scenarios pass. Visual column acceptance pending.</x:v>
      </x:c>
    </x:row>
    <x:row r="64" ht="52" customHeight="1">
      <x:c r="A64" s="11" t="str">
        <x:v>U23</x:v>
      </x:c>
      <x:c r="B64" s="11" t="str">
        <x:v>Accessibility gutters/separators</x:v>
      </x:c>
      <x:c r="C64" s="11" t="str">
        <x:v>Partial</x:v>
      </x:c>
      <x:c r="D64" s="12" t="str">
        <x:v>P1</x:v>
      </x:c>
      <x:c r="E64" s="11" t="str">
        <x:v>Reference rows had wrong columns and inconsistent spacing.</x:v>
      </x:c>
      <x:c r="F64" s="11" t="str">
        <x:v>Three-column documentation layout, responsive stacking, protected description expansion and neutral separators.</x:v>
      </x:c>
      <x:c r="G64" s="11" t="str">
        <x:v>Expand each description; inspect status alignment and panel/row gaps at narrow/wide widths.</x:v>
      </x:c>
      <x:c r="H64" s="11" t="str">
        <x:v>foundation.css:133; accessibility.html</x:v>
      </x:c>
      <x:c r="I64" s="11" t="str">
        <x:v>20 DOM checks pass; actual layout, zoom and assistive-technology checks remain pending.</x:v>
      </x:c>
    </x:row>
    <x:row r="65" ht="60" customHeight="1">
      <x:c r="A65" s="11" t="str">
        <x:v>U24</x:v>
      </x:c>
      <x:c r="B65" s="11" t="str">
        <x:v>All Foundation/Guidelines actions</x:v>
      </x:c>
      <x:c r="C65" s="11" t="str">
        <x:v>Implemented</x:v>
      </x:c>
      <x:c r="D65" s="12" t="str">
        <x:v>P1</x:v>
      </x:c>
      <x:c r="E65" s="11" t="str">
        <x:v>Inputs, views, saves, resets and copies needed full functional verification.</x:v>
      </x:c>
      <x:c r="F65" s="11" t="str">
        <x:v>Exercise every offered editor option plus invalid/save/recovery paths and defined matrices; fix current-prompt propagation.</x:v>
      </x:c>
      <x:c r="G65" s="11" t="str">
        <x:v>Repeat the committed DOM tools; inspect each evidence JSON and any failed row before release.</x:v>
      </x:c>
      <x:c r="H65" s="11" t="str">
        <x:v>tools/audit-foundation-controls.cjs; tools/audit-foundation-recovery.cjs; tools/audit-pending-tasks.cjs</x:v>
      </x:c>
      <x:c r="I65" s="11" t="str">
        <x:v>2205 main checks, 32 recovery checks, 141 pending checks, 817 defined combinations; zero failures. Arbitrary input space is not exhaustively tested.</x:v>
      </x:c>
    </x:row>
    <x:row r="66" ht="60" customHeight="1">
      <x:c r="A66" s="11" t="str">
        <x:v>U25</x:v>
      </x:c>
      <x:c r="B66" s="11" t="str">
        <x:v>Required red asterisk</x:v>
      </x:c>
      <x:c r="C66" s="11" t="str">
        <x:v>Implemented</x:v>
      </x:c>
      <x:c r="D66" s="12" t="str">
        <x:v>P1</x:v>
      </x:c>
      <x:c r="E66" s="11" t="str">
        <x:v>Mandatory fields still allowed Required text instead of the requested marker.</x:v>
      </x:c>
      <x:c r="F66" s="11" t="str">
        <x:v>Required labels use * in Foundation danger color; native required/ARIA stays programmatic; conflicting dropdown guidance corrected.</x:v>
      </x:c>
      <x:c r="G66" s="11" t="str">
        <x:v>Inspect required form labels and error summary; verify one explanation of the marker.</x:v>
      </x:c>
      <x:c r="H66" s="11" t="str">
        <x:v>foundation-runtime.js:295; foundation.css:62; select-dropdown.html</x:v>
      </x:c>
      <x:c r="I66" s="11" t="str">
        <x:v>Shared indicator runtime and corrected guideline are present; actual announcements need AT acceptance.</x:v>
      </x:c>
    </x:row>
    <x:row r="67" ht="52" customHeight="1">
      <x:c r="A67" s="11" t="str">
        <x:v>U26</x:v>
      </x:c>
      <x:c r="B67" s="11" t="str">
        <x:v>Remove Optional suffix</x:v>
      </x:c>
      <x:c r="C67" s="11" t="str">
        <x:v>Implemented</x:v>
      </x:c>
      <x:c r="D67" s="12" t="str">
        <x:v>P1</x:v>
      </x:c>
      <x:c r="E67" s="11" t="str">
        <x:v>Optional label text cluttered non-mandatory fields.</x:v>
      </x:c>
      <x:c r="F67" s="11" t="str">
        <x:v>Shared indicator normalization removes optional badges; optional identity no longer blocks Project setup.</x:v>
      </x:c>
      <x:c r="G67" s="11" t="str">
        <x:v>Inspect setup/other optional fields; leave blank and complete review/save.</x:v>
      </x:c>
      <x:c r="H67" s="11" t="str">
        <x:v>foundation-runtime.js:297; project-model.js</x:v>
      </x:c>
      <x:c r="I67" s="11" t="str">
        <x:v>Optional marker removal and profile/identity regression checks pass.</x:v>
      </x:c>
    </x:row>
  </x:sheetData>
  <x:mergeCells>
    <x:mergeCell ref="A3:I3"/>
    <x:mergeCell ref="A4:I4"/>
    <x:mergeCell ref="A5:I5"/>
  </x:mergeCells>
  <x:conditionalFormatting sqref="C9:C67">
    <x:cfRule type="cellIs" dxfId="0" priority="1" operator="equal">
      <x:formula>"Partial"</x:formula>
    </x:cfRule>
    <x:cfRule type="cellIs" dxfId="1" priority="2" operator="equal">
      <x:formula>"Unverified"</x:formula>
    </x:cfRule>
    <x:cfRule type="cellIs" dxfId="2" priority="3" operator="equal">
      <x:formula>"Verification pending"</x:formula>
    </x:cfRule>
    <x:cfRule type="cellIs" dxfId="3" priority="4" operator="equal">
      <x:formula>"Implemented; visual pending"</x:formula>
    </x:cfRule>
    <x:cfRule type="cellIs" dxfId="4" priority="5" operator="equal">
      <x:formula>"Not implemented"</x:formula>
    </x:cfRule>
    <x:cfRule type="cellIs" dxfId="5" priority="6" operator="equal">
      <x:formula>"Not completed"</x:formula>
    </x:cfRule>
    <x:cfRule type="cellIs" dxfId="6" priority="7" operator="equal">
      <x:formula>"Not fully revalidated"</x:formula>
    </x:cfRule>
  </x:conditionalFormatting>
  <x:dataValidations count="1">
    <x:dataValidation type="list" sqref="C9:C67">
      <x:formula1>"Implemented,Implemented; visual pending,Partial,Unverified,Verification pending,Not implemented,Not completed,Not fully revalidated"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e17e9eaa4b4826"/>
  </x:tableParts>
</x:worksheet>
</file>

<file path=xl/worksheets/sheet2.xml><?xml version="1.0" encoding="utf-8"?>
<x:worksheet xmlns:x="http://schemas.openxmlformats.org/spreadsheetml/2006/main">
  <x:sheetPr>
    <x:tabColor rgb="FF8494A8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7.21999979019165" hidden="0" customWidth="1"/>
    <x:col min="2" max="2" width="16.110000610351562" hidden="0" customWidth="1"/>
    <x:col min="3" max="3" width="18.329999923706055" hidden="0" customWidth="1"/>
    <x:col min="4" max="4" width="6.110000133514404" hidden="0" customWidth="1"/>
    <x:col min="5" max="5" width="30" hidden="0" customWidth="1"/>
    <x:col min="6" max="6" width="30" hidden="0" customWidth="1"/>
    <x:col min="7" max="7" width="30.559999465942383" hidden="0" customWidth="1"/>
    <x:col min="8" max="8" width="26.110000610351562" hidden="0" customWidth="1"/>
    <x:col min="9" max="9" width="29.440000534057617" hidden="0" customWidth="1"/>
    <x:col min="10" max="10" width="12.22000026702880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Original Foundation finding review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 t="str">
        <x:v>All 100 original findings retained with individual source evidence. Latest report has 17 original fixes, release tasks, 8 missed fixes and 26 user requests. Counts overlap between sheets.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4" t="str">
        <x:v>Current: 86 source/documentation requirements implemented; 14 Partial awaiting environment acceptance. The final column retains historical status.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24" customHeight="1">
      <x:c r="A5" s="4" t="str">
        <x:v>Original reference lines belong to the 05 Oct audit and may have moved. Use finding IDs and Current evidence. Filter Partial for the 14 open acceptance rows.</x:v>
      </x:c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0" customHeight="1">
      <x:c r="A8" s="8" t="str">
        <x:v>ID</x:v>
      </x:c>
      <x:c r="B8" s="8" t="str">
        <x:v>Section</x:v>
      </x:c>
      <x:c r="C8" s="8" t="str">
        <x:v>Current status</x:v>
      </x:c>
      <x:c r="D8" s="8" t="str">
        <x:v>Priority</x:v>
      </x:c>
      <x:c r="E8" s="8" t="str">
        <x:v>Original problem</x:v>
      </x:c>
      <x:c r="F8" s="8" t="str">
        <x:v>Original recommendation</x:v>
      </x:c>
      <x:c r="G8" s="8" t="str">
        <x:v>Task / guide</x:v>
      </x:c>
      <x:c r="H8" s="8" t="str">
        <x:v>Original reference</x:v>
      </x:c>
      <x:c r="I8" s="8" t="str">
        <x:v>Current evidence</x:v>
      </x:c>
      <x:c r="J8" s="8" t="str">
        <x:v>Status on 06 Oct</x:v>
      </x:c>
    </x:row>
    <x:row r="9" ht="60" customHeight="1">
      <x:c r="A9" s="11" t="str">
        <x:v>X01</x:v>
      </x:c>
      <x:c r="B9" s="11" t="str">
        <x:v>Systemwide Foundation contract</x:v>
      </x:c>
      <x:c r="C9" s="11" t="str">
        <x:v>Implemented</x:v>
      </x:c>
      <x:c r="D9" s="12" t="str">
        <x:v>P1</x:v>
      </x:c>
      <x:c r="E9" s="11" t="str">
        <x:v>Catalog retains removed Text colors, lacks newer Spacing defaults, Typography roles, Radius Navigation and Grid Master-Detail, and has no AI &amp; Agents entry.</x:v>
      </x:c>
      <x:c r="F9" s="11" t="str">
        <x:v>Generate catalog and docs together; fail release on stale/missing sections and include dynamic guidance explicitly.</x:v>
      </x:c>
      <x:c r="G9" s="11" t="str">
        <x:v>Source/documentation fix present; include this specific requirement in release acceptance.</x:v>
      </x:c>
      <x:c r="H9" s="11" t="str">
        <x:v>docs-catalog.json:413; original audit #x01-p1</x:v>
      </x:c>
      <x:c r="I9" s="11" t="str">
        <x:v>Catalog regenerated from all 157 page sources, including AI and current role guidance. Current: tools/audit_pages.py; foundation-model.js.</x:v>
      </x:c>
      <x:c r="J9" s="11" t="str">
        <x:v>Partial</x:v>
      </x:c>
    </x:row>
    <x:row r="10" ht="60" customHeight="1">
      <x:c r="A10" s="11" t="str">
        <x:v>X02</x:v>
      </x:c>
      <x:c r="B10" s="11" t="str">
        <x:v>Systemwide Foundation contract</x:v>
      </x:c>
      <x:c r="C10" s="11" t="str">
        <x:v>Implemented</x:v>
      </x:c>
      <x:c r="D10" s="12" t="str">
        <x:v>P1</x:v>
      </x:c>
      <x:c r="E10" s="11" t="str">
        <x:v>Fresh setup can export an empty token object; default values, semantic aliases and effective component mappings are not resolved.</x:v>
      </x:c>
      <x:c r="F10" s="11" t="str">
        <x:v>Resolve defaults plus context plus overrides into a complete snapshot with provenance and mode values.</x:v>
      </x:c>
      <x:c r="G10" s="11" t="str">
        <x:v>Source/documentation fix present; include this specific requirement in release acceptance.</x:v>
      </x:c>
      <x:c r="H10" s="11" t="str">
        <x:v>experience.js:230; original audit #x02-p1</x:v>
      </x:c>
      <x:c r="I10" s="11" t="str">
        <x:v>Shared resolve/export materializes default and applied settings, both themes, context and platform profiles. Current: foundation-runtime.js; foundation-model.js.</x:v>
      </x:c>
      <x:c r="J10" s="11" t="str">
        <x:v>Partial</x:v>
      </x:c>
    </x:row>
    <x:row r="11" ht="60" customHeight="1">
      <x:c r="A11" s="11" t="str">
        <x:v>X03</x:v>
      </x:c>
      <x:c r="B11" s="11" t="str">
        <x:v>Systemwide Foundation contract</x:v>
      </x:c>
      <x:c r="C11" s="11" t="str">
        <x:v>Implemented</x:v>
      </x:c>
      <x:c r="D11" s="12" t="str">
        <x:v>P1</x:v>
      </x:c>
      <x:c r="E11" s="11" t="str">
        <x:v>Artifact omits current border/opacity/tracking/radius/component/AI tokens; exported monospace is Inter while current CSS uses JetBrains Mono.</x:v>
      </x:c>
      <x:c r="F11" s="11" t="str">
        <x:v>Regenerate and validate during release; compare all intended public names and effective values.</x:v>
      </x:c>
      <x:c r="G11" s="11" t="str">
        <x:v>Source/documentation fix present; include this specific requirement in release acceptance.</x:v>
      </x:c>
      <x:c r="H11" s="11" t="str">
        <x:v>design-tokens.json:228; original audit #x03-p1</x:v>
      </x:c>
      <x:c r="I11" s="11" t="str">
        <x:v>Published defaults now include all 634 applied properties: 613 typed tokens and 21 CSS-only keywords. Current: tools/generate_tokens.py; foundation-model.js.</x:v>
      </x:c>
      <x:c r="J11" s="11" t="str">
        <x:v>Implemented</x:v>
      </x:c>
    </x:row>
    <x:row r="12" ht="60" customHeight="1">
      <x:c r="A12" s="11" t="str">
        <x:v>X04</x:v>
      </x:c>
      <x:c r="B12" s="11" t="str">
        <x:v>Systemwide Foundation contract</x:v>
      </x:c>
      <x:c r="C12" s="11" t="str">
        <x:v>Implemented</x:v>
      </x:c>
      <x:c r="D12" s="12" t="str">
        <x:v>P1</x:v>
      </x:c>
      <x:c r="E12" s="11" t="str">
        <x:v>It does not specify a supported version or translate typed values/references into the published interchange shapes.</x:v>
      </x:c>
      <x:c r="F12" s="11" t="str">
        <x:v>Pin published DTCG version, use typed objects and alias references, document mode extensions, validate a real importer.</x:v>
      </x:c>
      <x:c r="G12" s="11" t="str">
        <x:v>Source/documentation fix present; include this specific requirement in release acceptance.</x:v>
      </x:c>
      <x:c r="H12" s="11" t="str">
        <x:v>tools/generate_tokens.py:120; original audit #x04-p1</x:v>
      </x:c>
      <x:c r="I12" s="11" t="str">
        <x:v>Independent importer validates typed values and alias cycles in both modes; relative em uses an explicit extension. Current: tools/dtcg-import.cjs; foundation-model.js.</x:v>
      </x:c>
      <x:c r="J12" s="11" t="str">
        <x:v>Partial</x:v>
      </x:c>
    </x:row>
    <x:row r="13" ht="60" customHeight="1">
      <x:c r="A13" s="11" t="str">
        <x:v>X05</x:v>
      </x:c>
      <x:c r="B13" s="11" t="str">
        <x:v>Systemwide Foundation contract</x:v>
      </x:c>
      <x:c r="C13" s="11" t="str">
        <x:v>Implemented</x:v>
      </x:c>
      <x:c r="D13" s="12" t="str">
        <x:v>P1</x:v>
      </x:c>
      <x:c r="E13" s="11" t="str">
        <x:v>Saved, previewed, applied and exported have different meanings across sections.</x:v>
      </x:c>
      <x:c r="F13" s="11" t="str">
        <x:v>Adopt one draft/validate/commit/apply/export model or clearly separate auto-save from Apply.</x:v>
      </x:c>
      <x:c r="G13" s="11" t="str">
        <x:v>Source/documentation fix present; include this specific requirement in release acceptance.</x:v>
      </x:c>
      <x:c r="H13" s="11" t="str">
        <x:v>foundations.js:54; original audit #x05-p1</x:v>
      </x:c>
      <x:c r="I13" s="11" t="str">
        <x:v>Valid edits auto-apply; failed writes identify unsaved preview; reload restores durable settings. Current: shell.js; foundation-model.js.</x:v>
      </x:c>
      <x:c r="J13" s="11" t="str">
        <x:v>Partial</x:v>
      </x:c>
    </x:row>
    <x:row r="14" ht="60" customHeight="1">
      <x:c r="A14" s="11" t="str">
        <x:v>X06</x:v>
      </x:c>
      <x:c r="B14" s="11" t="str">
        <x:v>Systemwide Foundation contract</x:v>
      </x:c>
      <x:c r="C14" s="11" t="str">
        <x:v>Implemented</x:v>
      </x:c>
      <x:c r="D14" s="12" t="str">
        <x:v>P1</x:v>
      </x:c>
      <x:c r="E14" s="11" t="str">
        <x:v>Write failures, malformed records and future schemas have no common recovery path; visual selection can change before a write throws.</x:v>
      </x:c>
      <x:c r="F14" s="11" t="str">
        <x:v>Centralize storage validation/migration; preserve last valid state and expose recoverable errors and temporary validated export.</x:v>
      </x:c>
      <x:c r="G14" s="11" t="str">
        <x:v>Source/documentation fix present; include this specific requirement in release acceptance.</x:v>
      </x:c>
      <x:c r="H14" s="11" t="str">
        <x:v>grid-layout.js:112; original audit #x06-p1</x:v>
      </x:c>
      <x:c r="I14" s="11" t="str">
        <x:v>All 15 records migrate legacy values, preserve malformed/future data and support explicit reset/raw backup. Current: foundation-model.js; foundation-model.js.</x:v>
      </x:c>
      <x:c r="J14" s="11" t="str">
        <x:v>Partial</x:v>
      </x:c>
    </x:row>
    <x:row r="15" ht="60" customHeight="1">
      <x:c r="A15" s="11" t="str">
        <x:v>X07</x:v>
      </x:c>
      <x:c r="B15" s="11" t="str">
        <x:v>Systemwide Foundation contract</x:v>
      </x:c>
      <x:c r="C15" s="11" t="str">
        <x:v>Implemented</x:v>
      </x:c>
      <x:c r="D15" s="12" t="str">
        <x:v>P1</x:v>
      </x:c>
      <x:c r="E15" s="11" t="str">
        <x:v>Product/system choices generally lack programmatic selected state. Native keyboard activation exists, but outcome feedback is visual.</x:v>
      </x:c>
      <x:c r="F15" s="11" t="str">
        <x:v>Use radio groups or labelled toggle groups with synchronized aria-pressed; announce recommendations and outcomes.</x:v>
      </x:c>
      <x:c r="G15" s="11" t="str">
        <x:v>Source/documentation fix present; include this specific requirement in release acceptance.</x:v>
      </x:c>
      <x:c r="H15" s="11" t="str">
        <x:v>spacing.js:67; original audit #x07-p1</x:v>
      </x:c>
      <x:c r="I15" s="11" t="str">
        <x:v>Joined button choices expose selected state; section navigation retains anchors and keyboard handling. Current: experience.js; foundation-model.js.</x:v>
      </x:c>
      <x:c r="J15" s="11" t="str">
        <x:v>Partial</x:v>
      </x:c>
    </x:row>
    <x:row r="16" ht="60" customHeight="1">
      <x:c r="A16" s="11" t="str">
        <x:v>X08</x:v>
      </x:c>
      <x:c r="B16" s="11" t="str">
        <x:v>Systemwide Foundation contract</x:v>
      </x:c>
      <x:c r="C16" s="11" t="str">
        <x:v>Implemented</x:v>
      </x:c>
      <x:c r="D16" s="12" t="str">
        <x:v>P2</x:v>
      </x:c>
      <x:c r="E16" s="11" t="str">
        <x:v>Surrounding guidance, AI Rules, conditions and examples can be omitted; scales are often prose strings.</x:v>
      </x:c>
      <x:c r="F16" s="11" t="str">
        <x:v>Define versioned schemas with types/units, precedence, examples and normative rules; generate both views from them.</x:v>
      </x:c>
      <x:c r="G16" s="11" t="str">
        <x:v>Source/documentation fix present; include this specific requirement in release acceptance.</x:v>
      </x:c>
      <x:c r="H16" s="11" t="str">
        <x:v>experience.js:421; original audit #x08-p2</x:v>
      </x:c>
      <x:c r="I16" s="11" t="str">
        <x:v>Shared schemaVersion 1, resolver precedence and current-context handoff are documented and used. Current: foundation-contract.json; foundation-model.js.</x:v>
      </x:c>
      <x:c r="J16" s="11" t="str">
        <x:v>Partial</x:v>
      </x:c>
    </x:row>
    <x:row r="17" ht="60" customHeight="1">
      <x:c r="A17" s="11" t="str">
        <x:v>X09</x:v>
      </x:c>
      <x:c r="B17" s="11" t="str">
        <x:v>Systemwide Foundation contract</x:v>
      </x:c>
      <x:c r="C17" s="11" t="str">
        <x:v>Implemented</x:v>
      </x:c>
      <x:c r="D17" s="12" t="str">
        <x:v>P2</x:v>
      </x:c>
      <x:c r="E17" s="11" t="str">
        <x:v>Spacing lacks Consumer App/AI Product recommendations; Data-Heavy labels vary; Typography uses a different platform taxonomy.</x:v>
      </x:c>
      <x:c r="F17" s="11" t="str">
        <x:v>Use canonical product/platform/density context, inherited choices, explicit overrides and explained fallbacks.</x:v>
      </x:c>
      <x:c r="G17" s="11" t="str">
        <x:v>Source/documentation fix present; include this specific requirement in release acceptance.</x:v>
      </x:c>
      <x:c r="H17" s="11" t="str">
        <x:v>grid-layout.js:140; original audit #x09-p2</x:v>
      </x:c>
      <x:c r="I17" s="11" t="str">
        <x:v>One product/platform resolver supplies recommendations; mixed-platform handoff resolves separate profiles. Current: foundation-model.js; foundation-model.js.</x:v>
      </x:c>
      <x:c r="J17" s="11" t="str">
        <x:v>Partial</x:v>
      </x:c>
    </x:row>
    <x:row r="18" ht="72" customHeight="1">
      <x:c r="A18" s="11" t="str">
        <x:v>X10</x:v>
      </x:c>
      <x:c r="B18" s="11" t="str">
        <x:v>Systemwide Foundation contract</x:v>
      </x:c>
      <x:c r="C18" s="11" t="str">
        <x:v>Partial</x:v>
      </x:c>
      <x:c r="D18" s="12" t="str">
        <x:v>P2</x:v>
      </x:c>
      <x:c r="E18" s="11" t="str">
        <x:v>No per-Foundation release contract combines responsive, accessibility, native translation and change governance evidence.</x:v>
      </x:c>
      <x:c r="F18" s="11" t="str">
        <x:v>Assign token owners, compatibility/deprecation rules and section-specific acceptance checks linked to environment evidence.</x:v>
      </x:c>
      <x:c r="G18" s="11" t="str">
        <x:v>Attach actual viewport, zoom, forced-color, recipient and assistive-technology release evidence. Native rendering and live external agents are separate adapters, explicitly outside this web demo.</x:v>
      </x:c>
      <x:c r="H18" s="11" t="str">
        <x:v>accessibility.html:247; original audit #x10-p2</x:v>
      </x:c>
      <x:c r="I18" s="11" t="str">
        <x:v>Acceptance contract separates web scope, model evidence, renderer checks, assets and external/native adapters. Current: foundation-contract.json; foundation-model.js.</x:v>
      </x:c>
      <x:c r="J18" s="11" t="str">
        <x:v>Partial</x:v>
      </x:c>
    </x:row>
    <x:row r="19" ht="60" customHeight="1">
      <x:c r="A19" s="11" t="str">
        <x:v>NP01</x:v>
      </x:c>
      <x:c r="B19" s="11" t="str">
        <x:v>New Project</x:v>
      </x:c>
      <x:c r="C19" s="11" t="str">
        <x:v>Implemented</x:v>
      </x:c>
      <x:c r="D19" s="12" t="str">
        <x:v>P1</x:v>
      </x:c>
      <x:c r="E19" s="11" t="str">
        <x:v>New Project replaces the current profile while retaining global Foundations; create/edit/duplicate/switch are not distinct operations.</x:v>
      </x:c>
      <x:c r="F19" s="11" t="str">
        <x:v>Rename to Project setup until isolation exists, or use project IDs and scoped Foundation stores; expose replacement consequences.</x:v>
      </x:c>
      <x:c r="G19" s="11" t="str">
        <x:v>Source/documentation fix present; include this specific requirement in release acceptance.</x:v>
      </x:c>
      <x:c r="H19" s="11" t="str">
        <x:v>new-project.html:183; original audit #np01-p1</x:v>
      </x:c>
      <x:c r="I19" s="11" t="str">
        <x:v>Project setup describes one shared profile and warns before replacing existing details. Current: new-project.html; new-project.html#implementation-contract.</x:v>
      </x:c>
      <x:c r="J19" s="11" t="str">
        <x:v>Implemented</x:v>
      </x:c>
    </x:row>
    <x:row r="20" ht="60" customHeight="1">
      <x:c r="A20" s="11" t="str">
        <x:v>NP02</x:v>
      </x:c>
      <x:c r="B20" s="11" t="str">
        <x:v>New Project</x:v>
      </x:c>
      <x:c r="C20" s="11" t="str">
        <x:v>Implemented</x:v>
      </x:c>
      <x:c r="D20" s="12" t="str">
        <x:v>P1</x:v>
      </x:c>
      <x:c r="E20" s="11" t="str">
        <x:v>Product changes do not reconcile existing selections; platforms do not drive mobile grid defaults; no inherited/overridden review exists.</x:v>
      </x:c>
      <x:c r="F20" s="11" t="str">
        <x:v>Track recommendation provenance, review affected choices after context edits, and resolve per-platform defaults.</x:v>
      </x:c>
      <x:c r="G20" s="11" t="str">
        <x:v>Source/documentation fix present; include this specific requirement in release acceptance.</x:v>
      </x:c>
      <x:c r="H20" s="11" t="str">
        <x:v>grid-layout.js:160; original audit #np02-p1</x:v>
      </x:c>
      <x:c r="I20" s="11" t="str">
        <x:v>Review displays recommendation before/after changes and distinguishes retained explicit overrides. Current: experience.js; new-project.html#implementation-contract.</x:v>
      </x:c>
      <x:c r="J20" s="11" t="str">
        <x:v>Partial</x:v>
      </x:c>
    </x:row>
    <x:row r="21" ht="72" customHeight="1">
      <x:c r="A21" s="11" t="str">
        <x:v>NP03</x:v>
      </x:c>
      <x:c r="B21" s="11" t="str">
        <x:v>New Project</x:v>
      </x:c>
      <x:c r="C21" s="11" t="str">
        <x:v>Implemented</x:v>
      </x:c>
      <x:c r="D21" s="12" t="str">
        <x:v>P1</x:v>
      </x:c>
      <x:c r="E21" s="11" t="str">
        <x:v>No Resume/Discard/restore-saved control or timestamp exists; stale/partial drafts mask profiles; legacy draft product values are unmigrated.</x:v>
      </x:c>
      <x:c r="F21" s="11" t="str">
        <x:v>Show draft/profile provenance; offer resume/discard; validate/migrate both and retain saved baseline.</x:v>
      </x:c>
      <x:c r="G21" s="11" t="str">
        <x:v>Source/documentation fix present; include this specific requirement in release acceptance.</x:v>
      </x:c>
      <x:c r="H21" s="11" t="str">
        <x:v>experience.js:133; original audit #np03-p1</x:v>
      </x:c>
      <x:c r="I21" s="11" t="str">
        <x:v>Resume, Discard and Backup handle saved/draft/corrupt/future cases without injecting project names as HTML. Current: experience.js; new-project.html#implementation-contract.</x:v>
      </x:c>
      <x:c r="J21" s="11" t="str">
        <x:v>Partial</x:v>
      </x:c>
    </x:row>
    <x:row r="22" ht="60" customHeight="1">
      <x:c r="A22" s="11" t="str">
        <x:v>NP04</x:v>
      </x:c>
      <x:c r="B22" s="11" t="str">
        <x:v>New Project</x:v>
      </x:c>
      <x:c r="C22" s="11" t="str">
        <x:v>Implemented</x:v>
      </x:c>
      <x:c r="D22" s="12" t="str">
        <x:v>P2</x:v>
      </x:c>
      <x:c r="E22" s="11" t="str">
        <x:v>Model accepts overlength Other values and future version 999; Other descriptions lack type guards.</x:v>
      </x:c>
      <x:c r="F22" s="11" t="str">
        <x:v>Validate types/bounds/supported versions in the model; define trimming and Unicode length policy.</x:v>
      </x:c>
      <x:c r="G22" s="11" t="str">
        <x:v>Source/documentation fix present; include this specific requirement in release acceptance.</x:v>
      </x:c>
      <x:c r="H22" s="11" t="str">
        <x:v>project-model.js:42; original audit #np04-p2</x:v>
      </x:c>
      <x:c r="I22" s="11" t="str">
        <x:v>Other/free-text fields have model bounds; draft and review validation share the profile rules. Current: project-model.js; new-project.html#implementation-contract.</x:v>
      </x:c>
      <x:c r="J22" s="11" t="str">
        <x:v>Implemented</x:v>
      </x:c>
    </x:row>
    <x:row r="23" ht="72" customHeight="1">
      <x:c r="A23" s="11" t="str">
        <x:v>NP05</x:v>
      </x:c>
      <x:c r="B23" s="11" t="str">
        <x:v>New Project</x:v>
      </x:c>
      <x:c r="C23" s="11" t="str">
        <x:v>Implemented</x:v>
      </x:c>
      <x:c r="D23" s="12" t="str">
        <x:v>P1</x:v>
      </x:c>
      <x:c r="E23" s="11" t="str">
        <x:v>Focused checkbox lacks direct error association; required status is less clear in step 1; draft-save messages replace error status while typing.</x:v>
      </x:c>
      <x:c r="F23" s="11" t="str">
        <x:v>Associate group error with focused controls, add a summary, mark requirements consistently and separate save feedback from validation.</x:v>
      </x:c>
      <x:c r="G23" s="11" t="str">
        <x:v>Source/documentation fix present; include this specific requirement in release acceptance.</x:v>
      </x:c>
      <x:c r="H23" s="11" t="str">
        <x:v>experience.js:174; original audit #np05-p1</x:v>
      </x:c>
      <x:c r="I23" s="11" t="str">
        <x:v>Error summary links invalid fields and platform group; corrected submissions route to the invalid step. Current: experience.js; new-project.html#implementation-contract.</x:v>
      </x:c>
      <x:c r="J23" s="11" t="str">
        <x:v>Implemented</x:v>
      </x:c>
    </x:row>
    <x:row r="24" ht="60" customHeight="1">
      <x:c r="A24" s="11" t="str">
        <x:v>NP06</x:v>
      </x:c>
      <x:c r="B24" s="11" t="str">
        <x:v>New Project</x:v>
      </x:c>
      <x:c r="C24" s="11" t="str">
        <x:v>Implemented</x:v>
      </x:c>
      <x:c r="D24" s="12" t="str">
        <x:v>P2</x:v>
      </x:c>
      <x:c r="E24" s="11" t="str">
        <x:v>Role mainly changes destination; no role-specific checklist or Foundation completion condition exists.</x:v>
      </x:c>
      <x:c r="F24" s="11" t="str">
        <x:v>Provide role-specific tasks plus a shared readiness checklist with alternate routes.</x:v>
      </x:c>
      <x:c r="G24" s="11" t="str">
        <x:v>Source/documentation fix present; include this specific requirement in release acceptance.</x:v>
      </x:c>
      <x:c r="H24" s="11" t="str">
        <x:v>experience.js:207; original audit #np06-p2</x:v>
      </x:c>
      <x:c r="I24" s="11" t="str">
        <x:v>Role routes and all nine readiness rows distinguish valid/default/recovery, including AI. Current: experience.js; new-project.html#implementation-contract.</x:v>
      </x:c>
      <x:c r="J24" s="11" t="str">
        <x:v>Partial</x:v>
      </x:c>
    </x:row>
    <x:row r="25" ht="60" customHeight="1">
      <x:c r="A25" s="11" t="str">
        <x:v>NP07</x:v>
      </x:c>
      <x:c r="B25" s="11" t="str">
        <x:v>New Project</x:v>
      </x:c>
      <x:c r="C25" s="11" t="str">
        <x:v>Implemented</x:v>
      </x:c>
      <x:c r="D25" s="12" t="str">
        <x:v>P2</x:v>
      </x:c>
      <x:c r="E25" s="11" t="str">
        <x:v>Deep links are discarded; completed back/forward behavior undefined; final submit checks step-2 keys before full model validation.</x:v>
      </x:c>
      <x:c r="F25" s="11" t="str">
        <x:v>Use explicit wizard states; route final all-field errors to steps; retire step listeners or hash state on completion.</x:v>
      </x:c>
      <x:c r="G25" s="11" t="str">
        <x:v>Source/documentation fix present; include this specific requirement in release acceptance.</x:v>
      </x:c>
      <x:c r="H25" s="11" t="str">
        <x:v>experience.js:191; original audit #np07-p2</x:v>
      </x:c>
      <x:c r="I25" s="11" t="str">
        <x:v>Step/history routing, final review and invalid-step focus recovery use one setup state. Current: experience.js; new-project.html#implementation-contract.</x:v>
      </x:c>
      <x:c r="J25" s="11" t="str">
        <x:v>Partial</x:v>
      </x:c>
    </x:row>
    <x:row r="26" ht="72" customHeight="1">
      <x:c r="A26" s="11" t="str">
        <x:v>NP08</x:v>
      </x:c>
      <x:c r="B26" s="11" t="str">
        <x:v>New Project</x:v>
      </x:c>
      <x:c r="C26" s="11" t="str">
        <x:v>Partial</x:v>
      </x:c>
      <x:c r="D26" s="12" t="str">
        <x:v>P2</x:v>
      </x:c>
      <x:c r="E26" s="11" t="str">
        <x:v>No soft-keyboard, long-label, translated-copy or split-window contract; bespoke radii do not consistently follow saved philosophy.</x:v>
      </x:c>
      <x:c r="F26" s="11" t="str">
        <x:v>Map setup to semantic tokens; verify expansion/keyboard viewport, tablet/window sizing and reflow.</x:v>
      </x:c>
      <x:c r="G26" s="11" t="str">
        <x:v>Verify setup with soft keyboard, long/localized labels, split windows and 200% zoom.</x:v>
      </x:c>
      <x:c r="H26" s="11" t="str">
        <x:v>experience.css:22; original audit #np08-p2</x:v>
      </x:c>
      <x:c r="I26" s="11" t="str">
        <x:v>Responsive setup layout and long-label rules are present; rendered keyboard/zoom acceptance remains open. Current: experience.css; new-project.html#implementation-contract.</x:v>
      </x:c>
      <x:c r="J26" s="11" t="str">
        <x:v>Partial</x:v>
      </x:c>
    </x:row>
    <x:row r="27" ht="72" customHeight="1">
      <x:c r="A27" s="11" t="str">
        <x:v>NP09</x:v>
      </x:c>
      <x:c r="B27" s="11" t="str">
        <x:v>New Project</x:v>
      </x:c>
      <x:c r="C27" s="11" t="str">
        <x:v>Implemented</x:v>
      </x:c>
      <x:c r="D27" s="12" t="str">
        <x:v>P1</x:v>
      </x:c>
      <x:c r="E27" s="11" t="str">
        <x:v>No complete resolved token/validation/provenance/asset manifest travels through the immediate export path.</x:v>
      </x:c>
      <x:c r="F27" s="11" t="str">
        <x:v>Export resolved context/defaults/overrides, validation findings, assets and open decisions; keep identity opt-in.</x:v>
      </x:c>
      <x:c r="G27" s="11" t="str">
        <x:v>Source/documentation fix present; include this specific requirement in release acceptance.</x:v>
      </x:c>
      <x:c r="H27" s="11" t="str">
        <x:v>project-model.js:78; original audit #np09-p1</x:v>
      </x:c>
      <x:c r="I27" s="11" t="str">
        <x:v>Immediate handoff includes resolved defaults, portable rules, current context, asset manifest and open decisions. Current: project-model.js; new-project.html#implementation-contract.</x:v>
      </x:c>
      <x:c r="J27" s="11" t="str">
        <x:v>Partial</x:v>
      </x:c>
    </x:row>
    <x:row r="28" ht="60" customHeight="1">
      <x:c r="A28" s="11" t="str">
        <x:v>NP10</x:v>
      </x:c>
      <x:c r="B28" s="11" t="str">
        <x:v>New Project</x:v>
      </x:c>
      <x:c r="C28" s="11" t="str">
        <x:v>Implemented</x:v>
      </x:c>
      <x:c r="D28" s="12" t="str">
        <x:v>P2</x:v>
      </x:c>
      <x:c r="E28" s="11" t="str">
        <x:v>Mandatory identity benefit is unclear; overlapping categories/Other/browse-return lack examples.</x:v>
      </x:c>
      <x:c r="F28" s="11" t="str">
        <x:v>Make identity optional unless needed; explain requirements and add category/browse/Other decision examples.</x:v>
      </x:c>
      <x:c r="G28" s="11" t="str">
        <x:v>Source/documentation fix present; include this specific requirement in release acceptance.</x:v>
      </x:c>
      <x:c r="H28" s="11" t="str">
        <x:v>new-project.html:170; original audit #np10-p2</x:v>
      </x:c>
      <x:c r="I28" s="11" t="str">
        <x:v>Identity is optional; categories, Other and return/edit guidance explain context choices. Current: new-project.html; new-project.html#implementation-contract.</x:v>
      </x:c>
      <x:c r="J28" s="11" t="str">
        <x:v>Partial</x:v>
      </x:c>
    </x:row>
    <x:row r="29" ht="72" customHeight="1">
      <x:c r="A29" s="11" t="str">
        <x:v>C01</x:v>
      </x:c>
      <x:c r="B29" s="11" t="str">
        <x:v>Colors</x:v>
      </x:c>
      <x:c r="C29" s="11" t="str">
        <x:v>Implemented</x:v>
      </x:c>
      <x:c r="D29" s="12" t="str">
        <x:v>P1</x:v>
      </x:c>
      <x:c r="E29" s="11" t="str">
        <x:v>Brand violates documented fallback; synchronized controls contradict per-section opt-in; local Markdown can hide persisted/applied Brand dark values.</x:v>
      </x:c>
      <x:c r="F29" s="11" t="str">
        <x:v>Choose explicit auto/custom/built-in policy per family or unify it; export effective values and update copy.</x:v>
      </x:c>
      <x:c r="G29" s="11" t="str">
        <x:v>Source/documentation fix present; include this specific requirement in release acceptance.</x:v>
      </x:c>
      <x:c r="H29" s="11" t="str">
        <x:v>foundations.html:609; original audit #c01-p1</x:v>
      </x:c>
      <x:c r="I29" s="11" t="str">
        <x:v>Separate dark edit-enabled flags persist and appear in copied current settings; disabled dark uses documented fallback. Current: foundations.js; foundations.html#implementation-contract.</x:v>
      </x:c>
      <x:c r="J29" s="11" t="str">
        <x:v>Partial</x:v>
      </x:c>
    </x:row>
    <x:row r="30" ht="60" customHeight="1">
      <x:c r="A30" s="11" t="str">
        <x:v>C02</x:v>
      </x:c>
      <x:c r="B30" s="11" t="str">
        <x:v>Colors</x:v>
      </x:c>
      <x:c r="C30" s="11" t="str">
        <x:v>Implemented</x:v>
      </x:c>
      <x:c r="D30" s="12" t="str">
        <x:v>P1</x:v>
      </x:c>
      <x:c r="E30" s="11" t="str">
        <x:v>Local mode/reset changes affect other sections visually without durable transaction; reload enables all if any stored dark record exists.</x:v>
      </x:c>
      <x:c r="F30" s="11" t="str">
        <x:v>Persist explicit shared preference or truly independent choices; keep section resets local, provide separate all-colors reset/undo.</x:v>
      </x:c>
      <x:c r="G30" s="11" t="str">
        <x:v>Source/documentation fix present; include this specific requirement in release acceptance.</x:v>
      </x:c>
      <x:c r="H30" s="11" t="str">
        <x:v>foundations.js:924; original audit #c02-p1</x:v>
      </x:c>
      <x:c r="I30" s="11" t="str">
        <x:v>Resets are scoped to their color family; separate-dark choices restore independently. Current: foundations.js; foundations.html#implementation-contract.</x:v>
      </x:c>
      <x:c r="J30" s="11" t="str">
        <x:v>Partial</x:v>
      </x:c>
    </x:row>
    <x:row r="31" ht="72" customHeight="1">
      <x:c r="A31" s="11" t="str">
        <x:v>C03</x:v>
      </x:c>
      <x:c r="B31" s="11" t="str">
        <x:v>Colors</x:v>
      </x:c>
      <x:c r="C31" s="11" t="str">
        <x:v>Implemented</x:v>
      </x:c>
      <x:c r="D31" s="12" t="str">
        <x:v>P1</x:v>
      </x:c>
      <x:c r="E31" s="11" t="str">
        <x:v>Incomplete hex values can persist; Saved can coexist with older applied CSS; rejection lacks consistent field error.</x:v>
      </x:c>
      <x:c r="F31" s="11" t="str">
        <x:v>Separate drafts/last-valid state; validate complete input; commit/apply coherently with errors.</x:v>
      </x:c>
      <x:c r="G31" s="11" t="str">
        <x:v>Source/documentation fix present; include this specific requirement in release acceptance.</x:v>
      </x:c>
      <x:c r="H31" s="11" t="str">
        <x:v>foundations.js:547; original audit #c03-p1</x:v>
      </x:c>
      <x:c r="I31" s="11" t="str">
        <x:v>Incomplete hex is a draft error; previous valid colors stay applied and incomplete values are not saved. Current: foundations.js; foundations.html#implementation-contract.</x:v>
      </x:c>
      <x:c r="J31" s="11" t="str">
        <x:v>Partial</x:v>
      </x:c>
    </x:row>
    <x:row r="32" ht="72" customHeight="1">
      <x:c r="A32" s="11" t="str">
        <x:v>C04</x:v>
      </x:c>
      <x:c r="B32" s="11" t="str">
        <x:v>Colors</x:v>
      </x:c>
      <x:c r="C32" s="11" t="str">
        <x:v>Partial</x:v>
      </x:c>
      <x:c r="D32" s="12" t="str">
        <x:v>P1</x:v>
      </x:c>
      <x:c r="E32" s="11" t="str">
        <x:v>Checker omits on-brand text, raised/panel/tint surfaces, opacity and live typography overrides; fill-only swatches evaluated as text without use scope.</x:v>
      </x:c>
      <x:c r="F32" s="11" t="str">
        <x:v>Use actual effective role-specific pair matrix and compositing; state badge scope explicitly.</x:v>
      </x:c>
      <x:c r="G32" s="11" t="str">
        <x:v>Compare actual rendered role/surface/tint/state pairs. Model and scoped swatch checks do not certify every component.</x:v>
      </x:c>
      <x:c r="H32" s="11" t="str">
        <x:v>foundations.js:972; original audit #c04-p1</x:v>
      </x:c>
      <x:c r="I32" s="11" t="str">
        <x:v>Readouts use resolved text/action colors and composited tint pairs; actual component pair acceptance remains open. Current: foundations.js; foundations.html#implementation-contract.</x:v>
      </x:c>
      <x:c r="J32" s="11" t="str">
        <x:v>Partial</x:v>
      </x:c>
    </x:row>
    <x:row r="33" ht="72" customHeight="1">
      <x:c r="A33" s="11" t="str">
        <x:v>C05</x:v>
      </x:c>
      <x:c r="B33" s="11" t="str">
        <x:v>Colors</x:v>
      </x:c>
      <x:c r="C33" s="11" t="str">
        <x:v>Implemented</x:v>
      </x:c>
      <x:c r="D33" s="12" t="str">
        <x:v>P1</x:v>
      </x:c>
      <x:c r="E33" s="11" t="str">
        <x:v>Default pair misses normal-text requirement; arbitrary light brand can worsen it; no on-brand resolver/editor.</x:v>
      </x:c>
      <x:c r="F33" s="11" t="str">
        <x:v>Validate default/hover/pressed pairs; add explicit or approved contrast-safe foreground and brand acceptance criteria.</x:v>
      </x:c>
      <x:c r="G33" s="11" t="str">
        <x:v>Source/documentation fix present; include this specific requirement in release acceptance.</x:v>
      </x:c>
      <x:c r="H33" s="11" t="str">
        <x:v>theme.css:68; original audit #c05-p1</x:v>
      </x:c>
      <x:c r="I33" s="11" t="str">
        <x:v>Default, hover and active action foregrounds are derived for at least 4.5:1 on their actual background. Current: foundation-model.js; foundations.html#implementation-contract.</x:v>
      </x:c>
      <x:c r="J33" s="11" t="str">
        <x:v>Partial</x:v>
      </x:c>
    </x:row>
    <x:row r="34" ht="72" customHeight="1">
      <x:c r="A34" s="11" t="str">
        <x:v>C06</x:v>
      </x:c>
      <x:c r="B34" s="11" t="str">
        <x:v>Colors</x:v>
      </x:c>
      <x:c r="C34" s="11" t="str">
        <x:v>Implemented</x:v>
      </x:c>
      <x:c r="D34" s="12" t="str">
        <x:v>P2</x:v>
      </x:c>
      <x:c r="E34" s="11" t="str">
        <x:v>No role-validity/perceptual-order guarantee or hierarchy constraint for highly custom colors.</x:v>
      </x:c>
      <x:c r="F34" s="11" t="str">
        <x:v>Document formulas/version and role mappings; validate surface distinction and allow deliberate overrides.</x:v>
      </x:c>
      <x:c r="G34" s="11" t="str">
        <x:v>Source/documentation fix present; include this specific requirement in release acceptance.</x:v>
      </x:c>
      <x:c r="H34" s="11" t="str">
        <x:v>foundations.js:145; original audit #c06-p2</x:v>
      </x:c>
      <x:c r="I34" s="11" t="str">
        <x:v>Derivation, perceptual limits and custom hierarchy checks are explicit; arbitrary custom ramps are not certified. Current: foundation-contract.json; foundations.html#implementation-contract.</x:v>
      </x:c>
      <x:c r="J34" s="11" t="str">
        <x:v>Partial</x:v>
      </x:c>
    </x:row>
    <x:row r="35" ht="60" customHeight="1">
      <x:c r="A35" s="11" t="str">
        <x:v>C07</x:v>
      </x:c>
      <x:c r="B35" s="11" t="str">
        <x:v>Colors</x:v>
      </x:c>
      <x:c r="C35" s="11" t="str">
        <x:v>Implemented</x:v>
      </x:c>
      <x:c r="D35" s="12" t="str">
        <x:v>P1</x:v>
      </x:c>
      <x:c r="E35" s="11" t="str">
        <x:v>Hidden legacy text overrides remain active and excluded from current Foundation export map; semantic text ownership unresolved.</x:v>
      </x:c>
      <x:c r="F35" s="11" t="str">
        <x:v>Migrate/retire legacy records; define semantic text and per-level precedence; export effective text.</x:v>
      </x:c>
      <x:c r="G35" s="11" t="str">
        <x:v>Source/documentation fix present; include this specific requirement in release acceptance.</x:v>
      </x:c>
      <x:c r="H35" s="11" t="str">
        <x:v>shell.js:96; original audit #c07-p1</x:v>
      </x:c>
      <x:c r="I35" s="11" t="str">
        <x:v>Legacy color text overrides migrate into Typography ownership and travel in current exports. Current: foundation-model.js; foundations.html#implementation-contract.</x:v>
      </x:c>
      <x:c r="J35" s="11" t="str">
        <x:v>Implemented</x:v>
      </x:c>
    </x:row>
    <x:row r="36" ht="72" customHeight="1">
      <x:c r="A36" s="11" t="str">
        <x:v>C08</x:v>
      </x:c>
      <x:c r="B36" s="11" t="str">
        <x:v>Colors</x:v>
      </x:c>
      <x:c r="C36" s="11" t="str">
        <x:v>Implemented</x:v>
      </x:c>
      <x:c r="D36" s="12" t="str">
        <x:v>P2</x:v>
      </x:c>
      <x:c r="E36" s="11" t="str">
        <x:v>Hue names misrepresent purpose; field/derived/semantic token mappings inconsistent across views.</x:v>
      </x:c>
      <x:c r="F36" s="11" t="str">
        <x:v>Add semantic brand/action/text/surface aliases and compatibility mapping; show them in all views.</x:v>
      </x:c>
      <x:c r="G36" s="11" t="str">
        <x:v>Source/documentation fix present; include this specific requirement in release acceptance.</x:v>
      </x:c>
      <x:c r="H36" s="11" t="str">
        <x:v>shell.js:37; original audit #c08-p2</x:v>
      </x:c>
      <x:c r="I36" s="11" t="str">
        <x:v>Semantic action/status/surface aliases document compatibility hue names and authoritative role ownership. Current: foundation-contract.json; foundations.html#implementation-contract.</x:v>
      </x:c>
      <x:c r="J36" s="11" t="str">
        <x:v>Partial</x:v>
      </x:c>
    </x:row>
    <x:row r="37" ht="72" customHeight="1">
      <x:c r="A37" s="11" t="str">
        <x:v>C09</x:v>
      </x:c>
      <x:c r="B37" s="11" t="str">
        <x:v>Colors</x:v>
      </x:c>
      <x:c r="C37" s="11" t="str">
        <x:v>Implemented</x:v>
      </x:c>
      <x:c r="D37" s="12" t="str">
        <x:v>P2</x:v>
      </x:c>
      <x:c r="E37" s="11" t="str">
        <x:v>No exact foreground/background/icon triplets or component examples; warning/error/info/selection/data-series distinctions incomplete.</x:v>
      </x:c>
      <x:c r="F37" s="11" t="str">
        <x:v>Define status anatomy, severity and component mapping; keep data colors distinct from status semantics.</x:v>
      </x:c>
      <x:c r="G37" s="11" t="str">
        <x:v>Source/documentation fix present; include this specific requirement in release acceptance.</x:v>
      </x:c>
      <x:c r="H37" s="11" t="str">
        <x:v>foundations.html:362; original audit #c09-p2</x:v>
      </x:c>
      <x:c r="I37" s="11" t="str">
        <x:v>Component-specific Alert/Tag/Badge/Table/validation recipes distinguish status from selection and chart series. Current: foundations.html; foundations.html#implementation-contract.</x:v>
      </x:c>
      <x:c r="J37" s="11" t="str">
        <x:v>Partial</x:v>
      </x:c>
    </x:row>
    <x:row r="38" ht="72" customHeight="1">
      <x:c r="A38" s="11" t="str">
        <x:v>C10</x:v>
      </x:c>
      <x:c r="B38" s="11" t="str">
        <x:v>Colors</x:v>
      </x:c>
      <x:c r="C38" s="11" t="str">
        <x:v>Partial</x:v>
      </x:c>
      <x:c r="D38" s="12" t="str">
        <x:v>P1</x:v>
      </x:c>
      <x:c r="E38" s="11" t="str">
        <x:v>Adjustable controls lack names/current range values; opacity non-persistence insufficiently visible; narrow positioning unverified.</x:v>
      </x:c>
      <x:c r="F38" s="11" t="str">
        <x:v>Use labelled ranges/numeric alternatives, announce values, visibly explain preview-only alpha, verify focus return/clipping.</x:v>
      </x:c>
      <x:c r="G38" s="11" t="str">
        <x:v>Verify picker clipping, actual range announcements, keyboard focus return and narrow positioning.</x:v>
      </x:c>
      <x:c r="H38" s="11" t="str">
        <x:v>foundations.js:1172; original audit #c10-p1</x:v>
      </x:c>
      <x:c r="I38" s="11" t="str">
        <x:v>Picker controls expose names/values, keyboard increments, transient opacity and Escape focus recovery. Current: foundations.js; foundations.html#implementation-contract.</x:v>
      </x:c>
      <x:c r="J38" s="11" t="str">
        <x:v>Partial</x:v>
      </x:c>
    </x:row>
    <x:row r="39" ht="60" customHeight="1">
      <x:c r="A39" s="11" t="str">
        <x:v>G01</x:v>
      </x:c>
      <x:c r="B39" s="11" t="str">
        <x:v>Grid &amp; Layout</x:v>
      </x:c>
      <x:c r="C39" s="11" t="str">
        <x:v>Implemented</x:v>
      </x:c>
      <x:c r="D39" s="12" t="str">
        <x:v>P1</x:v>
      </x:c>
      <x:c r="E39" s="11" t="str">
        <x:v>No numeric/editor/custom schema exists; Custom is just a label.</x:v>
      </x:c>
      <x:c r="F39" s="11" t="str">
        <x:v>Add validated columns/gutter/margin/container/per-breakpoint controls, or label recommendation-only; require Custom definition.</x:v>
      </x:c>
      <x:c r="G39" s="11" t="str">
        <x:v>Source/documentation fix present; include this specific requirement in release acceptance.</x:v>
      </x:c>
      <x:c r="H39" s="11" t="str">
        <x:v>grid-layout.html:246; original audit #g01-p1</x:v>
      </x:c>
      <x:c r="I39" s="11" t="str">
        <x:v>Custom columns/gutter bounds validate every grid type; current geometry is saved/applied/exported. Current: grid-layout.js; grid-layout.html#implementation-contract.</x:v>
      </x:c>
      <x:c r="J39" s="11" t="str">
        <x:v>Partial</x:v>
      </x:c>
    </x:row>
    <x:row r="40" ht="72" customHeight="1">
      <x:c r="A40" s="11" t="str">
        <x:v>G02</x:v>
      </x:c>
      <x:c r="B40" s="11" t="str">
        <x:v>Grid &amp; Layout</x:v>
      </x:c>
      <x:c r="C40" s="11" t="str">
        <x:v>Partial</x:v>
      </x:c>
      <x:c r="D40" s="12" t="str">
        <x:v>P1</x:v>
      </x:c>
      <x:c r="E40" s="11" t="str">
        <x:v>Canonical scale remains a follow-up; threshold ranges do not form coherent consumer contract.</x:v>
      </x:c>
      <x:c r="F40" s="11" t="str">
        <x:v>Adopt justified shared scale, migrate consumers, document content-driven exceptions and test boundaries.</x:v>
      </x:c>
      <x:c r="G40" s="11" t="str">
        <x:v>Measure documented breakpoint/container boundaries and compatibility exceptions in a real renderer.</x:v>
      </x:c>
      <x:c r="H40" s="11" t="str">
        <x:v>grid-layout.html:219; original audit #g02-p1</x:v>
      </x:c>
      <x:c r="I40" s="11" t="str">
        <x:v>Canonical container/viewport thresholds and legacy compatibility exceptions are documented; rendered boundaries pending. Current: foundation-contract.json; grid-layout.html#implementation-contract.</x:v>
      </x:c>
      <x:c r="J40" s="11" t="str">
        <x:v>Partial</x:v>
      </x:c>
    </x:row>
    <x:row r="41" ht="72" customHeight="1">
      <x:c r="A41" s="11" t="str">
        <x:v>G03</x:v>
      </x:c>
      <x:c r="B41" s="11" t="str">
        <x:v>Grid &amp; Layout</x:v>
      </x:c>
      <x:c r="C41" s="11" t="str">
        <x:v>Implemented</x:v>
      </x:c>
      <x:c r="D41" s="12" t="str">
        <x:v>P1</x:v>
      </x:c>
      <x:c r="E41" s="11" t="str">
        <x:v>No platform/container/density precedence; Consumer App four columns regardless of desktop/native target.</x:v>
      </x:c>
      <x:c r="F41" s="11" t="str">
        <x:v>Resolve product plus platform/container/density; emit per-platform profiles and conflicts transparently.</x:v>
      </x:c>
      <x:c r="G41" s="11" t="str">
        <x:v>Source/documentation fix present; include this specific requirement in release acceptance.</x:v>
      </x:c>
      <x:c r="H41" s="11" t="str">
        <x:v>grid-layout.js:152; original audit #g03-p1</x:v>
      </x:c>
      <x:c r="I41" s="11" t="str">
        <x:v>Platform profiles, container width, explicit overrides and density precedence resolve from shared context. Current: foundation-model.js; grid-layout.html#implementation-contract.</x:v>
      </x:c>
      <x:c r="J41" s="11" t="str">
        <x:v>Partial</x:v>
      </x:c>
    </x:row>
    <x:row r="42" ht="72" customHeight="1">
      <x:c r="A42" s="11" t="str">
        <x:v>G04</x:v>
      </x:c>
      <x:c r="B42" s="11" t="str">
        <x:v>Grid &amp; Layout</x:v>
      </x:c>
      <x:c r="C42" s="11" t="str">
        <x:v>Implemented</x:v>
      </x:c>
      <x:c r="D42" s="12" t="str">
        <x:v>P1</x:v>
      </x:c>
      <x:c r="E42" s="11" t="str">
        <x:v>No max-width/margins/spans/alignment/row/baseline/nested rules; Baseline described as overlay but selected as replacement.</x:v>
      </x:c>
      <x:c r="F42" s="11" t="str">
        <x:v>Define independent axes, container/span tokens and optional baseline overlay; add executable examples.</x:v>
      </x:c>
      <x:c r="G42" s="11" t="str">
        <x:v>Source/documentation fix present; include this specific requirement in release acceptance.</x:v>
      </x:c>
      <x:c r="H42" s="11" t="str">
        <x:v>grid-layout.html:322; original audit #g04-p1</x:v>
      </x:c>
      <x:c r="I42" s="11" t="str">
        <x:v>Independent baseline, max width, gutters, spans, nesting, source order and row alignment have buildable rules. Current: foundation-contract.json; grid-layout.html#implementation-contract.</x:v>
      </x:c>
      <x:c r="J42" s="11" t="str">
        <x:v>Partial</x:v>
      </x:c>
    </x:row>
    <x:row r="43" ht="72" customHeight="1">
      <x:c r="A43" s="11" t="str">
        <x:v>G05</x:v>
      </x:c>
      <x:c r="B43" s="11" t="str">
        <x:v>Grid &amp; Layout</x:v>
      </x:c>
      <x:c r="C43" s="11" t="str">
        <x:v>Implemented</x:v>
      </x:c>
      <x:c r="D43" s="12" t="str">
        <x:v>P1</x:v>
      </x:c>
      <x:c r="E43" s="11" t="str">
        <x:v>Too broad for long forms, reflow, virtual keyboard, fixed actions/nested regions; truncation recovery incomplete.</x:v>
      </x:c>
      <x:c r="F43" s="11" t="str">
        <x:v>Prefer reflow where appropriate; define justified regions with names/keyboard/affordances/retained actions.</x:v>
      </x:c>
      <x:c r="G43" s="11" t="str">
        <x:v>Source/documentation fix present; include this specific requirement in release acceptance.</x:v>
      </x:c>
      <x:c r="H43" s="11" t="str">
        <x:v>grid-layout.html:451; original audit #g05-p1</x:v>
      </x:c>
      <x:c r="I43" s="11" t="str">
        <x:v>Document scrolling, reflow, virtual keyboard, fixed actions and justified independent regions are documented. Current: foundation-contract.json; grid-layout.html#implementation-contract.</x:v>
      </x:c>
      <x:c r="J43" s="11" t="str">
        <x:v>Implemented</x:v>
      </x:c>
    </x:row>
    <x:row r="44" ht="72" customHeight="1">
      <x:c r="A44" s="11" t="str">
        <x:v>G06</x:v>
      </x:c>
      <x:c r="B44" s="11" t="str">
        <x:v>Grid &amp; Layout</x:v>
      </x:c>
      <x:c r="C44" s="11" t="str">
        <x:v>Partial</x:v>
      </x:c>
      <x:c r="D44" s="12" t="str">
        <x:v>P1</x:v>
      </x:c>
      <x:c r="E44" s="11" t="str">
        <x:v>No narrow transforms, source/focus order, selected record/back behavior or pane empty/error/loading specs.</x:v>
      </x:c>
      <x:c r="F44" s="11" t="str">
        <x:v>Specify each pattern across widths/states, including reading/focus restoration.</x:v>
      </x:c>
      <x:c r="G44" s="11" t="str">
        <x:v>Verify each consumer pattern at wide/narrow widths, including selected-record, empty/loading/error and focus-return states.</x:v>
      </x:c>
      <x:c r="H44" s="11" t="str">
        <x:v>grid-layout.html:445; original audit #g06-p1</x:v>
      </x:c>
      <x:c r="I44" s="11" t="str">
        <x:v>All eight patterns have wide/narrow/state rules; executable Master-Detail preserves selection, Back, list position and focus. Current: layout-patterns.js; grid-layout.html#implementation-contract.</x:v>
      </x:c>
      <x:c r="J44" s="11" t="str">
        <x:v>Partial</x:v>
      </x:c>
    </x:row>
    <x:row r="45" ht="72" customHeight="1">
      <x:c r="A45" s="11" t="str">
        <x:v>G07</x:v>
      </x:c>
      <x:c r="B45" s="11" t="str">
        <x:v>Grid &amp; Layout</x:v>
      </x:c>
      <x:c r="C45" s="11" t="str">
        <x:v>Partial</x:v>
      </x:c>
      <x:c r="D45" s="12" t="str">
        <x:v>P2</x:v>
      </x:c>
      <x:c r="E45" s="11" t="str">
        <x:v>Resizable/minimum panes, persisted widths, sticky/overlay collision and content priority unspecified.</x:v>
      </x:c>
      <x:c r="F45" s="11" t="str">
        <x:v>Define pane bounds/collapse/resizing, sticky containment and overlay rules; link Splitter/Affix/Table.</x:v>
      </x:c>
      <x:c r="G45" s="11" t="str">
        <x:v>Verify real Splitter/Affix/Table panes, min/max resizing, keyboard, persistence and overlay collision.</x:v>
      </x:c>
      <x:c r="H45" s="11" t="str">
        <x:v>grid-layout.html:427; original audit #g07-p2</x:v>
      </x:c>
      <x:c r="I45" s="11" t="str">
        <x:v>Live Splitter now supports bounds, keyboard/collapse, cancellation and versioned width persistence; overlay rules documented. Current: splitter-runtime.js; grid-layout.html#implementation-contract.</x:v>
      </x:c>
      <x:c r="J45" s="11" t="str">
        <x:v>Partial</x:v>
      </x:c>
    </x:row>
    <x:row r="46" ht="60" customHeight="1">
      <x:c r="A46" s="11" t="str">
        <x:v>G08</x:v>
      </x:c>
      <x:c r="B46" s="11" t="str">
        <x:v>Grid &amp; Layout</x:v>
      </x:c>
      <x:c r="C46" s="11" t="str">
        <x:v>Implemented</x:v>
      </x:c>
      <x:c r="D46" s="12" t="str">
        <x:v>P1</x:v>
      </x:c>
      <x:c r="E46" s="11" t="str">
        <x:v>No breakpoints/pattern/overflow rules or executable Custom geometry travel.</x:v>
      </x:c>
      <x:c r="F46" s="11" t="str">
        <x:v>Export effective geometry, semantic tokens, patterns, boundaries and validation with normative guidance.</x:v>
      </x:c>
      <x:c r="G46" s="11" t="str">
        <x:v>Source/documentation fix present; include this specific requirement in release acceptance.</x:v>
      </x:c>
      <x:c r="H46" s="11" t="str">
        <x:v>grid-layout.js:28; original audit #g08-p1</x:v>
      </x:c>
      <x:c r="I46" s="11" t="str">
        <x:v>Layout Markdown carries effective Custom geometry, pattern rules, breakpoints and overflow guidance. Current: grid-layout.js; grid-layout.html#implementation-contract.</x:v>
      </x:c>
      <x:c r="J46" s="11" t="str">
        <x:v>Partial</x:v>
      </x:c>
    </x:row>
    <x:row r="47" ht="72" customHeight="1">
      <x:c r="A47" s="11" t="str">
        <x:v>T01</x:v>
      </x:c>
      <x:c r="B47" s="11" t="str">
        <x:v>Typography</x:v>
      </x:c>
      <x:c r="C47" s="11" t="str">
        <x:v>Implemented</x:v>
      </x:c>
      <x:c r="D47" s="12" t="str">
        <x:v>P1</x:v>
      </x:c>
      <x:c r="E47" s="11" t="str">
        <x:v>Uploaded font cannot reproduce after navigation/reload or handoff; named family is insufficient.</x:v>
      </x:c>
      <x:c r="F47" s="11" t="str">
        <x:v>Package durable authorized font reference/faces/install rules or visibly label preview-only.</x:v>
      </x:c>
      <x:c r="G47" s="11" t="str">
        <x:v>Source/documentation fix present; include this specific requirement in release acceptance.</x:v>
      </x:c>
      <x:c r="H47" s="11" t="str">
        <x:v>typography.js:163; original audit #t01-p1</x:v>
      </x:c>
      <x:c r="I47" s="11" t="str">
        <x:v>Uploaded font data and source manifest persist and travel in Foundation JSON; reset removes old runtime faces. Current: typography.js; typography.html#implementation-contract.</x:v>
      </x:c>
      <x:c r="J47" s="11" t="str">
        <x:v>Implemented</x:v>
      </x:c>
    </x:row>
    <x:row r="48" ht="72" customHeight="1">
      <x:c r="A48" s="11" t="str">
        <x:v>T02</x:v>
      </x:c>
      <x:c r="B48" s="11" t="str">
        <x:v>Typography</x:v>
      </x:c>
      <x:c r="C48" s="11" t="str">
        <x:v>Implemented</x:v>
      </x:c>
      <x:c r="D48" s="12" t="str">
        <x:v>P1</x:v>
      </x:c>
      <x:c r="E48" s="11" t="str">
        <x:v>Preview can show new font while Markdown/storage retain old one until next interaction; FileReader error unhandled.</x:v>
      </x:c>
      <x:c r="F48" s="11" t="str">
        <x:v>Commit/render on successful load; expose loading/retry/cancel/read/load errors, preserve prior valid font.</x:v>
      </x:c>
      <x:c r="G48" s="11" t="str">
        <x:v>Source/documentation fix present; include this specific requirement in release acceptance.</x:v>
      </x:c>
      <x:c r="H48" s="11" t="str">
        <x:v>typography.js:164; original audit #t02-p1</x:v>
      </x:c>
      <x:c r="I48" s="11" t="str">
        <x:v>Read/load errors, retry and generation guards prevent late fonts or reset uploads from replacing current values. Current: typography.js; typography.html#implementation-contract.</x:v>
      </x:c>
      <x:c r="J48" s="11" t="str">
        <x:v>Partial</x:v>
      </x:c>
    </x:row>
    <x:row r="49" ht="72" customHeight="1">
      <x:c r="A49" s="11" t="str">
        <x:v>T03</x:v>
      </x:c>
      <x:c r="B49" s="11" t="str">
        <x:v>Typography</x:v>
      </x:c>
      <x:c r="C49" s="11" t="str">
        <x:v>Implemented</x:v>
      </x:c>
      <x:c r="D49" s="12" t="str">
        <x:v>P1</x:v>
      </x:c>
      <x:c r="E49" s="11" t="str">
        <x:v>No effective semantic typography/component resolver; application scope unclear.</x:v>
      </x:c>
      <x:c r="F49" s="11" t="str">
        <x:v>Resolve semantic tokens and bindings or explicitly state export-only settings; show effective previews.</x:v>
      </x:c>
      <x:c r="G49" s="11" t="str">
        <x:v>Source/documentation fix present; include this specific requirement in release acceptance.</x:v>
      </x:c>
      <x:c r="H49" s="11" t="str">
        <x:v>shell.js:165; original audit #t03-p1</x:v>
      </x:c>
      <x:c r="I49" s="11" t="str">
        <x:v>Every role resolves family, size, weight, style, line height, tracking and color; shared CSS binds actual headings. Current: foundation.css; typography.html#implementation-contract.</x:v>
      </x:c>
      <x:c r="J49" s="11" t="str">
        <x:v>Partial</x:v>
      </x:c>
    </x:row>
    <x:row r="50" ht="72" customHeight="1">
      <x:c r="A50" s="11" t="str">
        <x:v>T04</x:v>
      </x:c>
      <x:c r="B50" s="11" t="str">
        <x:v>Typography</x:v>
      </x:c>
      <x:c r="C50" s="11" t="str">
        <x:v>Implemented</x:v>
      </x:c>
      <x:c r="D50" s="12" t="str">
        <x:v>P1</x:v>
      </x:c>
      <x:c r="E50" s="11" t="str">
        <x:v>Interaction states treated as independent type levels; visual style confused with semantic hierarchy.</x:v>
      </x:c>
      <x:c r="F50" s="11" t="str">
        <x:v>Separate text roles and state color modifiers; define Body/Paragraph and visual versus HTML headings.</x:v>
      </x:c>
      <x:c r="G50" s="11" t="str">
        <x:v>Source/documentation fix present; include this specific requirement in release acceptance.</x:v>
      </x:c>
      <x:c r="H50" s="11" t="str">
        <x:v>typography.html:1070; original audit #t04-p1</x:v>
      </x:c>
      <x:c r="I50" s="11" t="str">
        <x:v>Semantic heading level remains independent of visual size; status modifiers retain readable base typography. Current: foundation-contract.json; typography.html#implementation-contract.</x:v>
      </x:c>
      <x:c r="J50" s="11" t="str">
        <x:v>Partial</x:v>
      </x:c>
    </x:row>
    <x:row r="51" ht="72" customHeight="1">
      <x:c r="A51" s="11" t="str">
        <x:v>T05</x:v>
      </x:c>
      <x:c r="B51" s="11" t="str">
        <x:v>Typography</x:v>
      </x:c>
      <x:c r="C51" s="11" t="str">
        <x:v>Implemented</x:v>
      </x:c>
      <x:c r="D51" s="12" t="str">
        <x:v>P1</x:v>
      </x:c>
      <x:c r="E51" s="11" t="str">
        <x:v>Very tight values allowed without guidance; clamping impedes entry; visible draft snapshot can differ from saved picker.</x:v>
      </x:c>
      <x:c r="F51" s="11" t="str">
        <x:v>Validate on blur/commit, preserve draft, recommend role bounds/exceptions and actual pair checks.</x:v>
      </x:c>
      <x:c r="G51" s="11" t="str">
        <x:v>Source/documentation fix present; include this specific requirement in release acceptance.</x:v>
      </x:c>
      <x:c r="H51" s="11" t="str">
        <x:v>typography.js:274; original audit #t05-p1</x:v>
      </x:c>
      <x:c r="I51" s="11" t="str">
        <x:v>Full field validation preserves invalid drafts, including blank tracking, instead of silently committing zero. Current: typography.js; typography.html#implementation-contract.</x:v>
      </x:c>
      <x:c r="J51" s="11" t="str">
        <x:v>Partial</x:v>
      </x:c>
    </x:row>
    <x:row r="52" ht="72" customHeight="1">
      <x:c r="A52" s="11" t="str">
        <x:v>T06</x:v>
      </x:c>
      <x:c r="B52" s="11" t="str">
        <x:v>Typography</x:v>
      </x:c>
      <x:c r="C52" s="11" t="str">
        <x:v>Implemented</x:v>
      </x:c>
      <x:c r="D52" s="12" t="str">
        <x:v>P1</x:v>
      </x:c>
      <x:c r="E52" s="11" t="str">
        <x:v>No arbitrary-scale/H2–H6/other-role adaptation or saved-platform mapping.</x:v>
      </x:c>
      <x:c r="F52" s="11" t="str">
        <x:v>Define explicit responsive role tokens or approved fluid ranges plus platform/minimum rules.</x:v>
      </x:c>
      <x:c r="G52" s="11" t="str">
        <x:v>Source/documentation fix present; include this specific requirement in release acceptance.</x:v>
      </x:c>
      <x:c r="H52" s="11" t="str">
        <x:v>typography.html:285; original audit #t06-p1</x:v>
      </x:c>
      <x:c r="I52" s="11" t="str">
        <x:v>Standard H1-H6 restore, platform preset mapping and arbitrary customized metric export share the resolver. Current: foundation-model.js; typography.html#implementation-contract.</x:v>
      </x:c>
      <x:c r="J52" s="11" t="str">
        <x:v>Partial</x:v>
      </x:c>
    </x:row>
    <x:row r="53" ht="72" customHeight="1">
      <x:c r="A53" s="11" t="str">
        <x:v>T07</x:v>
      </x:c>
      <x:c r="B53" s="11" t="str">
        <x:v>Typography</x:v>
      </x:c>
      <x:c r="C53" s="11" t="str">
        <x:v>Partial</x:v>
      </x:c>
      <x:c r="D53" s="12" t="str">
        <x:v>P1</x:v>
      </x:c>
      <x:c r="E53" s="11" t="str">
        <x:v>Actual readable roles/surfaces/scripts/spacing not demonstrated; muted defaults compute ~3.56:1 on white and ~3.21:1 on dark panel.</x:v>
      </x:c>
      <x:c r="F53" s="11" t="str">
        <x:v>Verify actual text/surface roles; correct defaults or restrict uses; test expansion/scripts/text spacing.</x:v>
      </x:c>
      <x:c r="G53" s="11" t="str">
        <x:v>Verify rendered scripts, expansion, user text-spacing overrides and customized text/surface pairs; default pair math passes.</x:v>
      </x:c>
      <x:c r="H53" s="11" t="str">
        <x:v>typography.html:1721; original audit #t07-p1</x:v>
      </x:c>
      <x:c r="I53" s="11" t="str">
        <x:v>Default text pair checks pass; localization, text spacing and rendered custom-pair acceptance remain open. Current: tests/foundation-release.test.cjs; typography.html#implementation-contract.</x:v>
      </x:c>
      <x:c r="J53" s="11" t="str">
        <x:v>Open</x:v>
      </x:c>
    </x:row>
    <x:row r="54" ht="72" customHeight="1">
      <x:c r="A54" s="11" t="str">
        <x:v>T08</x:v>
      </x:c>
      <x:c r="B54" s="11" t="str">
        <x:v>Typography</x:v>
      </x:c>
      <x:c r="C54" s="11" t="str">
        <x:v>Partial</x:v>
      </x:c>
      <x:c r="D54" s="12" t="str">
        <x:v>P2</x:v>
      </x:c>
      <x:c r="E54" s="11" t="str">
        <x:v>Load failure/unsupported faces/synthesis/variable axes/fallback metrics and file bounds unspecified.</x:v>
      </x:c>
      <x:c r="F54" s="11" t="str">
        <x:v>Define valid faces, fallback/loading/hosting/axes; validate type/size and show unavailable-face states.</x:v>
      </x:c>
      <x:c r="G54" s="11" t="str">
        <x:v>Verify real font decoding, network failure/retry, supported faces, synthesis and fallback metrics.</x:v>
      </x:c>
      <x:c r="H54" s="11" t="str">
        <x:v>typography.js:115; original audit #t08-p2</x:v>
      </x:c>
      <x:c r="I54" s="11" t="str">
        <x:v>Font bounds, requested faces, retry, synthesis/fallback guidance are present; real decoding still pending. Current: typography.js; typography.html#implementation-contract.</x:v>
      </x:c>
      <x:c r="J54" s="11" t="str">
        <x:v>Partial</x:v>
      </x:c>
    </x:row>
    <x:row r="55" ht="72" customHeight="1">
      <x:c r="A55" s="11" t="str">
        <x:v>T09</x:v>
      </x:c>
      <x:c r="B55" s="11" t="str">
        <x:v>Typography</x:v>
      </x:c>
      <x:c r="C55" s="11" t="str">
        <x:v>Implemented</x:v>
      </x:c>
      <x:c r="D55" s="12" t="str">
        <x:v>P1</x:v>
      </x:c>
      <x:c r="E55" s="11" t="str">
        <x:v>Standard button/label/table/code/link/eyebrow roles and AI Rule do not travel; assets/responsive styles incomplete.</x:v>
      </x:c>
      <x:c r="F55" s="11" t="str">
        <x:v>Export semantic roles, rules, responsive variants, units and font dependencies.</x:v>
      </x:c>
      <x:c r="G55" s="11" t="str">
        <x:v>Source/documentation fix present; include this specific requirement in release acceptance.</x:v>
      </x:c>
      <x:c r="H55" s="11" t="str">
        <x:v>typography.js:386; original audit #t09-p1</x:v>
      </x:c>
      <x:c r="I55" s="11" t="str">
        <x:v>Button/label/table/code/link/eyebrow role mapping, font assets and responsive rules are included in handoff. Current: foundation-contract.json; typography.html#implementation-contract.</x:v>
      </x:c>
      <x:c r="J55" s="11" t="str">
        <x:v>Partial</x:v>
      </x:c>
    </x:row>
    <x:row r="56" ht="72" customHeight="1">
      <x:c r="A56" s="11" t="str">
        <x:v>T10</x:v>
      </x:c>
      <x:c r="B56" s="11" t="str">
        <x:v>Typography</x:v>
      </x:c>
      <x:c r="C56" s="11" t="str">
        <x:v>Implemented</x:v>
      </x:c>
      <x:c r="D56" s="12" t="str">
        <x:v>P2</x:v>
      </x:c>
      <x:c r="E56" s="11" t="str">
        <x:v>Copy/view/category actions can write unchanged values; edited styles leave preset active; reseeding lacks visible diff/undo.</x:v>
      </x:c>
      <x:c r="F56" s="11" t="str">
        <x:v>Persist real value changes only; mark modified presets Custom; review/undo multi-level changes.</x:v>
      </x:c>
      <x:c r="G56" s="11" t="str">
        <x:v>Source/documentation fix present; include this specific requirement in release acceptance.</x:v>
      </x:c>
      <x:c r="H56" s="11" t="str">
        <x:v>typography.js:459; original audit #t10-p2</x:v>
      </x:c>
      <x:c r="I56" s="11" t="str">
        <x:v>Preset change previews affected sizes, supports scoped Undo and retires stale preset/Undo after edits/reset. Current: typography.js; typography.html#implementation-contract.</x:v>
      </x:c>
      <x:c r="J56" s="11" t="str">
        <x:v>Partial</x:v>
      </x:c>
    </x:row>
    <x:row r="57" ht="60" customHeight="1">
      <x:c r="A57" s="11" t="str">
        <x:v>S01</x:v>
      </x:c>
      <x:c r="B57" s="11" t="str">
        <x:v>Spacing</x:v>
      </x:c>
      <x:c r="C57" s="11" t="str">
        <x:v>Implemented</x:v>
      </x:c>
      <x:c r="D57" s="12" t="str">
        <x:v>P1</x:v>
      </x:c>
      <x:c r="E57" s="11" t="str">
        <x:v>No resolver/application for selected system; some advertised values lack named tokens.</x:v>
      </x:c>
      <x:c r="F57" s="11" t="str">
        <x:v>Define primitive scale plus semantic role mapping per system; resolve/export, or mark advisory.</x:v>
      </x:c>
      <x:c r="G57" s="11" t="str">
        <x:v>Source/documentation fix present; include this specific requirement in release acceptance.</x:v>
      </x:c>
      <x:c r="H57" s="11" t="str">
        <x:v>spacing.js:107; original audit #s01-p1</x:v>
      </x:c>
      <x:c r="I57" s="11" t="str">
        <x:v>All offered spacing systems resolve applied scale and aliases, including zero and advertised values. Current: foundation-model.js; spacing.html#implementation-contract.</x:v>
      </x:c>
      <x:c r="J57" s="11" t="str">
        <x:v>Open</x:v>
      </x:c>
    </x:row>
    <x:row r="58" ht="60" customHeight="1">
      <x:c r="A58" s="11" t="str">
        <x:v>S02</x:v>
      </x:c>
      <x:c r="B58" s="11" t="str">
        <x:v>Spacing</x:v>
      </x:c>
      <x:c r="C58" s="11" t="str">
        <x:v>Implemented</x:v>
      </x:c>
      <x:c r="D58" s="12" t="str">
        <x:v>P1</x:v>
      </x:c>
      <x:c r="E58" s="11" t="str">
        <x:v>Competing allowed-value contracts; zero/auto/percent/negative/fluid exceptions unspecified.</x:v>
      </x:c>
      <x:c r="F58" s="11" t="str">
        <x:v>Define primitive availability, role recommendations and exceptions with precedence.</x:v>
      </x:c>
      <x:c r="G58" s="11" t="str">
        <x:v>Source/documentation fix present; include this specific requirement in release acceptance.</x:v>
      </x:c>
      <x:c r="H58" s="11" t="str">
        <x:v>spacing.html:344; original audit #s02-p1</x:v>
      </x:c>
      <x:c r="I58" s="11" t="str">
        <x:v>Allowed tokens and zero/auto/percent/negative/fluid exceptions are explicitly governed. Current: foundation-contract.json; spacing.html#implementation-contract.</x:v>
      </x:c>
      <x:c r="J58" s="11" t="str">
        <x:v>Open</x:v>
      </x:c>
    </x:row>
    <x:row r="59" ht="60" customHeight="1">
      <x:c r="A59" s="11" t="str">
        <x:v>S03</x:v>
      </x:c>
      <x:c r="B59" s="11" t="str">
        <x:v>Spacing</x:v>
      </x:c>
      <x:c r="C59" s="11" t="str">
        <x:v>Implemented</x:v>
      </x:c>
      <x:c r="D59" s="12" t="str">
        <x:v>P1</x:v>
      </x:c>
      <x:c r="E59" s="11" t="str">
        <x:v>No exact micro/control/layout algorithm and inconsistent combined-unit mapping.</x:v>
      </x:c>
      <x:c r="F59" s="11" t="str">
        <x:v>Define role/density/platform resolver and correct Cross-Platform choice; display effective results.</x:v>
      </x:c>
      <x:c r="G59" s="11" t="str">
        <x:v>Source/documentation fix present; include this specific requirement in release acceptance.</x:v>
      </x:c>
      <x:c r="H59" s="11" t="str">
        <x:v>spacing.html:291; original audit #s03-p1</x:v>
      </x:c>
      <x:c r="I59" s="11" t="str">
        <x:v>Adaptive micro/control/layout resolution uses a defined algorithm and consistent px/rem conversion. Current: foundation-model.js; spacing.html#implementation-contract.</x:v>
      </x:c>
      <x:c r="J59" s="11" t="str">
        <x:v>Open</x:v>
      </x:c>
    </x:row>
    <x:row r="60" ht="60" customHeight="1">
      <x:c r="A60" s="11" t="str">
        <x:v>S04</x:v>
      </x:c>
      <x:c r="B60" s="11" t="str">
        <x:v>Spacing</x:v>
      </x:c>
      <x:c r="C60" s="11" t="str">
        <x:v>Implemented</x:v>
      </x:c>
      <x:c r="D60" s="12" t="str">
        <x:v>P2</x:v>
      </x:c>
      <x:c r="E60" s="11" t="str">
        <x:v>Common setup types silently fall back; duplicated platform/product suggestions vary.</x:v>
      </x:c>
      <x:c r="F60" s="11" t="str">
        <x:v>Canonical taxonomy, explained fallback, supported Consumer/AI defaults.</x:v>
      </x:c>
      <x:c r="G60" s="11" t="str">
        <x:v>Source/documentation fix present; include this specific requirement in release acceptance.</x:v>
      </x:c>
      <x:c r="H60" s="11" t="str">
        <x:v>spacing.js:136; original audit #s04-p2</x:v>
      </x:c>
      <x:c r="I60" s="11" t="str">
        <x:v>Shared project taxonomy and context mappings replace contradictory per-page recommendations. Current: foundation-model.js; spacing.html#implementation-contract.</x:v>
      </x:c>
      <x:c r="J60" s="11" t="str">
        <x:v>Implemented</x:v>
      </x:c>
    </x:row>
    <x:row r="61" ht="72" customHeight="1">
      <x:c r="A61" s="11" t="str">
        <x:v>S05</x:v>
      </x:c>
      <x:c r="B61" s="11" t="str">
        <x:v>Spacing</x:v>
      </x:c>
      <x:c r="C61" s="11" t="str">
        <x:v>Implemented</x:v>
      </x:c>
      <x:c r="D61" s="12" t="str">
        <x:v>P2</x:v>
      </x:c>
      <x:c r="E61" s="11" t="str">
        <x:v>Exact label/helper/error/group/list/toolbar/empty/wrapped spacing incomplete; scrim versus content padding ambiguous.</x:v>
      </x:c>
      <x:c r="F61" s="11" t="str">
        <x:v>Define semantic relationship tokens and complete composition/state examples.</x:v>
      </x:c>
      <x:c r="G61" s="11" t="str">
        <x:v>Source/documentation fix present; include this specific requirement in release acceptance.</x:v>
      </x:c>
      <x:c r="H61" s="11" t="str">
        <x:v>spacing.html:354; original audit #s05-p2</x:v>
      </x:c>
      <x:c r="I61" s="11" t="str">
        <x:v>Label/helper/error/group/list/toolbar/empty/wrapped spacing and scrim/content padding have relationship rules. Current: foundation-contract.json; spacing.html#implementation-contract.</x:v>
      </x:c>
      <x:c r="J61" s="11" t="str">
        <x:v>Partial</x:v>
      </x:c>
    </x:row>
    <x:row r="62" ht="60" customHeight="1">
      <x:c r="A62" s="11" t="str">
        <x:v>S06</x:v>
      </x:c>
      <x:c r="B62" s="11" t="str">
        <x:v>Spacing</x:v>
      </x:c>
      <x:c r="C62" s="11" t="str">
        <x:v>Implemented</x:v>
      </x:c>
      <x:c r="D62" s="12" t="str">
        <x:v>P1</x:v>
      </x:c>
      <x:c r="E62" s="11" t="str">
        <x:v>Visual density not separated from hit-area/separation/text constraints.</x:v>
      </x:c>
      <x:c r="F62" s="11" t="str">
        <x:v>Define independent interactive bounds/readability and compact/comfortable role maps.</x:v>
      </x:c>
      <x:c r="G62" s="11" t="str">
        <x:v>Source/documentation fix present; include this specific requirement in release acceptance.</x:v>
      </x:c>
      <x:c r="H62" s="11" t="str">
        <x:v>spacing.html:258; original audit #s06-p1</x:v>
      </x:c>
      <x:c r="I62" s="11" t="str">
        <x:v>Density is separated from glyph/control/target size; target editor enforces a 44px minimum. Current: foundation-runtime.js; spacing.html#implementation-contract.</x:v>
      </x:c>
      <x:c r="J62" s="11" t="str">
        <x:v>Open</x:v>
      </x:c>
    </x:row>
    <x:row r="63" ht="72" customHeight="1">
      <x:c r="A63" s="11" t="str">
        <x:v>S07</x:v>
      </x:c>
      <x:c r="B63" s="11" t="str">
        <x:v>Spacing</x:v>
      </x:c>
      <x:c r="C63" s="11" t="str">
        <x:v>Implemented</x:v>
      </x:c>
      <x:c r="D63" s="12" t="str">
        <x:v>P2</x:v>
      </x:c>
      <x:c r="E63" s="11" t="str">
        <x:v>Implementation contradicts rule; responsive/logical/native spacing lacks explicit policy.</x:v>
      </x:c>
      <x:c r="F63" s="11" t="str">
        <x:v>Audit literals; use semantic tokens; document approved fluid structural/logical/native rules.</x:v>
      </x:c>
      <x:c r="G63" s="11" t="str">
        <x:v>Source/documentation fix present; include this specific requirement in release acceptance.</x:v>
      </x:c>
      <x:c r="H63" s="11" t="str">
        <x:v>experience.css:22; original audit #s07-p2</x:v>
      </x:c>
      <x:c r="I63" s="11" t="str">
        <x:v>Logical gutters and documented fluid/native exceptions distinguish token adoption from renderer-specific units. Current: foundation.css; spacing.html#implementation-contract.</x:v>
      </x:c>
      <x:c r="J63" s="11" t="str">
        <x:v>Partial</x:v>
      </x:c>
    </x:row>
    <x:row r="64" ht="60" customHeight="1">
      <x:c r="A64" s="11" t="str">
        <x:v>S08</x:v>
      </x:c>
      <x:c r="B64" s="11" t="str">
        <x:v>Spacing</x:v>
      </x:c>
      <x:c r="C64" s="11" t="str">
        <x:v>Implemented</x:v>
      </x:c>
      <x:c r="D64" s="12" t="str">
        <x:v>P1</x:v>
      </x:c>
      <x:c r="E64" s="11" t="str">
        <x:v>Numbers travel without relationship constraints.</x:v>
      </x:c>
      <x:c r="F64" s="11" t="str">
        <x:v>Export typed scale, semantic relations, density/platform variants and precedence/rules.</x:v>
      </x:c>
      <x:c r="G64" s="11" t="str">
        <x:v>Source/documentation fix present; include this specific requirement in release acceptance.</x:v>
      </x:c>
      <x:c r="H64" s="11" t="str">
        <x:v>spacing.js:21; original audit #s08-p1</x:v>
      </x:c>
      <x:c r="I64" s="11" t="str">
        <x:v>Current values, relationship aliases, composition and unit rules travel in Markdown and JSON. Current: foundation-runtime.js; spacing.html#implementation-contract.</x:v>
      </x:c>
      <x:c r="J64" s="11" t="str">
        <x:v>Open</x:v>
      </x:c>
    </x:row>
    <x:row r="65" ht="72" customHeight="1">
      <x:c r="A65" s="11" t="str">
        <x:v>R01</x:v>
      </x:c>
      <x:c r="B65" s="11" t="str">
        <x:v>Radius</x:v>
      </x:c>
      <x:c r="C65" s="11" t="str">
        <x:v>Implemented</x:v>
      </x:c>
      <x:c r="D65" s="12" t="str">
        <x:v>P1</x:v>
      </x:c>
      <x:c r="E65" s="11" t="str">
        <x:v>AI mandates fixed defaults while chosen philosophy changes actual tokens.</x:v>
      </x:c>
      <x:c r="F65" s="11" t="str">
        <x:v>Generate active component defaults from philosophy; distinguish base versus effective mapping.</x:v>
      </x:c>
      <x:c r="G65" s="11" t="str">
        <x:v>Source/documentation fix present; include this specific requirement in release acceptance.</x:v>
      </x:c>
      <x:c r="H65" s="11" t="str">
        <x:v>shell.js:135; original audit #r01-p1</x:v>
      </x:c>
      <x:c r="I65" s="11" t="str">
        <x:v>Chosen philosophy resolves semantic defaults; prompts carry the active mappings instead of fixed seed rules. Current: foundation-model.js; radius.html#implementation-contract.</x:v>
      </x:c>
      <x:c r="J65" s="11" t="str">
        <x:v>Open</x:v>
      </x:c>
    </x:row>
    <x:row r="66" ht="60" customHeight="1">
      <x:c r="A66" s="11" t="str">
        <x:v>R02</x:v>
      </x:c>
      <x:c r="B66" s="11" t="str">
        <x:v>Radius</x:v>
      </x:c>
      <x:c r="C66" s="11" t="str">
        <x:v>Implemented</x:v>
      </x:c>
      <x:c r="D66" s="12" t="str">
        <x:v>P1</x:v>
      </x:c>
      <x:c r="E66" s="11" t="str">
        <x:v>Numeric names stop meaning numbers; incomplete adoption and duplicate mappings drift.</x:v>
      </x:c>
      <x:c r="F66" s="11" t="str">
        <x:v>Keep primitives immutable; remap semantic control/card/overlay aliases from one source; audit consumers.</x:v>
      </x:c>
      <x:c r="G66" s="11" t="str">
        <x:v>Source/documentation fix present; include this specific requirement in release acceptance.</x:v>
      </x:c>
      <x:c r="H66" s="11" t="str">
        <x:v>shell.js:142; original audit #r02-p1</x:v>
      </x:c>
      <x:c r="I66" s="11" t="str">
        <x:v>Numeric radius primitives stay numeric; effective role aliases change with philosophy. Current: tests/foundation-model.test.cjs; radius.html#implementation-contract.</x:v>
      </x:c>
      <x:c r="J66" s="11" t="str">
        <x:v>Open</x:v>
      </x:c>
    </x:row>
    <x:row r="67" ht="72" customHeight="1">
      <x:c r="A67" s="11" t="str">
        <x:v>R03</x:v>
      </x:c>
      <x:c r="B67" s="11" t="str">
        <x:v>Radius</x:v>
      </x:c>
      <x:c r="C67" s="11" t="str">
        <x:v>Implemented</x:v>
      </x:c>
      <x:c r="D67" s="12" t="str">
        <x:v>P2</x:v>
      </x:c>
      <x:c r="E67" s="11" t="str">
        <x:v>Core headline range versus available scale versus role exceptions undefined.</x:v>
      </x:c>
      <x:c r="F67" s="11" t="str">
        <x:v>Define core versus full scale and exact allowed/default role intersections.</x:v>
      </x:c>
      <x:c r="G67" s="11" t="str">
        <x:v>Source/documentation fix present; include this specific requirement in release acceptance.</x:v>
      </x:c>
      <x:c r="H67" s="11" t="str">
        <x:v>radius.html:255; original audit #r03-p2</x:v>
      </x:c>
      <x:c r="I67" s="11" t="str">
        <x:v>Role permissions and pill/circle/attached/native exceptions are explicit in the generated contract. Current: foundation-contract.json; radius.html#implementation-contract.</x:v>
      </x:c>
      <x:c r="J67" s="11" t="str">
        <x:v>Partial</x:v>
      </x:c>
    </x:row>
    <x:row r="68" ht="60" customHeight="1">
      <x:c r="A68" s="11" t="str">
        <x:v>R04</x:v>
      </x:c>
      <x:c r="B68" s="11" t="str">
        <x:v>Radius</x:v>
      </x:c>
      <x:c r="C68" s="11" t="str">
        <x:v>Implemented</x:v>
      </x:c>
      <x:c r="D68" s="12" t="str">
        <x:v>P2</x:v>
      </x:c>
      <x:c r="E68" s="11" t="str">
        <x:v>Contour-following versus independent child implied; borders/asymmetric insets/radii omitted.</x:v>
      </x:c>
      <x:c r="F68" s="11" t="str">
        <x:v>Scope formula to contour surfaces, account for borders/insets, illustrate independent controls.</x:v>
      </x:c>
      <x:c r="G68" s="11" t="str">
        <x:v>Source/documentation fix present; include this specific requirement in release acceptance.</x:v>
      </x:c>
      <x:c r="H68" s="11" t="str">
        <x:v>radius.html:469; original audit #r04-p2</x:v>
      </x:c>
      <x:c r="I68" s="11" t="str">
        <x:v>Contour cap subtracts border plus padding; asymmetric insets and independent child controls are explained. Current: radius.html; radius.html#implementation-contract.</x:v>
      </x:c>
      <x:c r="J68" s="11" t="str">
        <x:v>Partial</x:v>
      </x:c>
    </x:row>
    <x:row r="69" ht="60" customHeight="1">
      <x:c r="A69" s="11" t="str">
        <x:v>R05</x:v>
      </x:c>
      <x:c r="B69" s="11" t="str">
        <x:v>Radius</x:v>
      </x:c>
      <x:c r="C69" s="11" t="str">
        <x:v>Implemented</x:v>
      </x:c>
      <x:c r="D69" s="12" t="str">
        <x:v>P2</x:v>
      </x:c>
      <x:c r="E69" s="11" t="str">
        <x:v>No consolidated attached/full-screen/pill/circle/responsive rules.</x:v>
      </x:c>
      <x:c r="F69" s="11" t="str">
        <x:v>Define floating/attached/full-screen/pill/circle semantic variants with per-edge rules.</x:v>
      </x:c>
      <x:c r="G69" s="11" t="str">
        <x:v>Source/documentation fix present; include this specific requirement in release acceptance.</x:v>
      </x:c>
      <x:c r="H69" s="11" t="str">
        <x:v>radius.html:379; original audit #r05-p2</x:v>
      </x:c>
      <x:c r="I69" s="11" t="str">
        <x:v>Attached, full-screen, pill, circle and responsive radius rules are consolidated. Current: foundation-contract.json; radius.html#implementation-contract.</x:v>
      </x:c>
      <x:c r="J69" s="11" t="str">
        <x:v>Implemented</x:v>
      </x:c>
    </x:row>
    <x:row r="70" ht="72" customHeight="1">
      <x:c r="A70" s="11" t="str">
        <x:v>R06</x:v>
      </x:c>
      <x:c r="B70" s="11" t="str">
        <x:v>Radius</x:v>
      </x:c>
      <x:c r="C70" s="11" t="str">
        <x:v>Implemented</x:v>
      </x:c>
      <x:c r="D70" s="12" t="str">
        <x:v>P2</x:v>
      </x:c>
      <x:c r="E70" s="11" t="str">
        <x:v>No radius invariance across focus/error/selected or overflow-focus clipping guidance.</x:v>
      </x:c>
      <x:c r="F70" s="11" t="str">
        <x:v>Keep ordinary state geometry stable; define outlines/overflow/hit areas and intentional transitions.</x:v>
      </x:c>
      <x:c r="G70" s="11" t="str">
        <x:v>Source/documentation fix present; include this specific requirement in release acceptance.</x:v>
      </x:c>
      <x:c r="H70" s="11" t="str">
        <x:v>radius.html:367; original audit #r06-p2</x:v>
      </x:c>
      <x:c r="I70" s="11" t="str">
        <x:v>Geometry stays invariant through focus/error/selected states; clipping and focus visibility rules are explicit. Current: foundation-contract.json; radius.html#implementation-contract.</x:v>
      </x:c>
      <x:c r="J70" s="11" t="str">
        <x:v>Implemented</x:v>
      </x:c>
    </x:row>
    <x:row r="71" ht="60" customHeight="1">
      <x:c r="A71" s="11" t="str">
        <x:v>R07</x:v>
      </x:c>
      <x:c r="B71" s="11" t="str">
        <x:v>Radius</x:v>
      </x:c>
      <x:c r="C71" s="11" t="str">
        <x:v>Implemented</x:v>
      </x:c>
      <x:c r="D71" s="12" t="str">
        <x:v>P1</x:v>
      </x:c>
      <x:c r="E71" s="11" t="str">
        <x:v>Actual remapping and required role constraints absent.</x:v>
      </x:c>
      <x:c r="F71" s="11" t="str">
        <x:v>Export effective semantic map, primitives and attached/nested rules with provenance.</x:v>
      </x:c>
      <x:c r="G71" s="11" t="str">
        <x:v>Source/documentation fix present; include this specific requirement in release acceptance.</x:v>
      </x:c>
      <x:c r="H71" s="11" t="str">
        <x:v>radius.js:22; original audit #r07-p1</x:v>
      </x:c>
      <x:c r="I71" s="11" t="str">
        <x:v>Current semantic mappings and nested/attached permissions appear in portable Radius handoff. Current: radius.js; radius.html#implementation-contract.</x:v>
      </x:c>
      <x:c r="J71" s="11" t="str">
        <x:v>Open</x:v>
      </x:c>
    </x:row>
    <x:row r="72" ht="60" customHeight="1">
      <x:c r="A72" s="11" t="str">
        <x:v>R08</x:v>
      </x:c>
      <x:c r="B72" s="11" t="str">
        <x:v>Radius</x:v>
      </x:c>
      <x:c r="C72" s="11" t="str">
        <x:v>Implemented</x:v>
      </x:c>
      <x:c r="D72" s="12" t="str">
        <x:v>P2</x:v>
      </x:c>
      <x:c r="E72" s="11" t="str">
        <x:v>Reset can show Balanced then different philosophy on reload.</x:v>
      </x:c>
      <x:c r="F72" s="11" t="str">
        <x:v>Separate project recommendation from global default or choose durable reset policy; show inheritance.</x:v>
      </x:c>
      <x:c r="G72" s="11" t="str">
        <x:v>Source/documentation fix present; include this specific requirement in release acceptance.</x:v>
      </x:c>
      <x:c r="H72" s="11" t="str">
        <x:v>radius.js:161; original audit #r08-p2</x:v>
      </x:c>
      <x:c r="I72" s="11" t="str">
        <x:v>Reset derives the current project recommendation and persists/restores the same effective philosophy. Current: radius.js; radius.html#implementation-contract.</x:v>
      </x:c>
      <x:c r="J72" s="11" t="str">
        <x:v>Implemented</x:v>
      </x:c>
    </x:row>
    <x:row r="73" ht="60" customHeight="1">
      <x:c r="A73" s="11" t="str">
        <x:v>B01</x:v>
      </x:c>
      <x:c r="B73" s="11" t="str">
        <x:v>Borders</x:v>
      </x:c>
      <x:c r="C73" s="11" t="str">
        <x:v>Implemented</x:v>
      </x:c>
      <x:c r="D73" s="12" t="str">
        <x:v>P1</x:v>
      </x:c>
      <x:c r="E73" s="11" t="str">
        <x:v>Promised per-state configuration unavailable.</x:v>
      </x:c>
      <x:c r="F73" s="11" t="str">
        <x:v>Implement validated state properties or label them fixed and narrow claim.</x:v>
      </x:c>
      <x:c r="G73" s="11" t="str">
        <x:v>Source/documentation fix present; include this specific requirement in release acceptance.</x:v>
      </x:c>
      <x:c r="H73" s="11" t="str">
        <x:v>borders.html:419; original audit #b01-p1</x:v>
      </x:c>
      <x:c r="I73" s="11" t="str">
        <x:v>Base geometry is editable; fixed per-state geometry is accurately labelled with editable state colors. Current: borders.html; borders.html#implementation-contract.</x:v>
      </x:c>
      <x:c r="J73" s="11" t="str">
        <x:v>Open</x:v>
      </x:c>
    </x:row>
    <x:row r="74" ht="60" customHeight="1">
      <x:c r="A74" s="11" t="str">
        <x:v>B02</x:v>
      </x:c>
      <x:c r="B74" s="11" t="str">
        <x:v>Borders</x:v>
      </x:c>
      <x:c r="C74" s="11" t="str">
        <x:v>Partial</x:v>
      </x:c>
      <x:c r="D74" s="12" t="str">
        <x:v>P1</x:v>
      </x:c>
      <x:c r="E74" s="11" t="str">
        <x:v>No strategy accommodates thicker border without shifting; preview changes real width.</x:v>
      </x:c>
      <x:c r="F74" s="11" t="str">
        <x:v>Reserve maximum transparent border or use outline/inset; show no-shift implementations.</x:v>
      </x:c>
      <x:c r="G74" s="11" t="str">
        <x:v>Measure control geometry through focus/error/selected transitions; no-layout outlines are implemented.</x:v>
      </x:c>
      <x:c r="H74" s="11" t="str">
        <x:v>borders.html:520; original audit #b02-p1</x:v>
      </x:c>
      <x:c r="I74" s="11" t="str">
        <x:v>Focus outline is separate from resting boundary and layout; real transition measurement remains pending. Current: foundation.css; borders.html#implementation-contract.</x:v>
      </x:c>
      <x:c r="J74" s="11" t="str">
        <x:v>Open</x:v>
      </x:c>
    </x:row>
    <x:row r="75" ht="72" customHeight="1">
      <x:c r="A75" s="11" t="str">
        <x:v>B03</x:v>
      </x:c>
      <x:c r="B75" s="11" t="str">
        <x:v>Borders</x:v>
      </x:c>
      <x:c r="C75" s="11" t="str">
        <x:v>Implemented</x:v>
      </x:c>
      <x:c r="D75" s="12" t="str">
        <x:v>P1</x:v>
      </x:c>
      <x:c r="E75" s="11" t="str">
        <x:v>Focus+error, selected+hover, loading+disabled and success+focus precedence missing; read-only/required absent.</x:v>
      </x:c>
      <x:c r="F75" s="11" t="str">
        <x:v>Define orthogonal layers/precedence and keep focus/messages visible; separate read-only.</x:v>
      </x:c>
      <x:c r="G75" s="11" t="str">
        <x:v>Source/documentation fix present; include this specific requirement in release acceptance.</x:v>
      </x:c>
      <x:c r="H75" s="11" t="str">
        <x:v>borders.html:412; original audit #b03-p1</x:v>
      </x:c>
      <x:c r="I75" s="11" t="str">
        <x:v>Combined error/focus, selection/hover, loading/disabled, success/focus and read-only/required precedence is defined. Current: foundation-contract.json; borders.html#implementation-contract.</x:v>
      </x:c>
      <x:c r="J75" s="11" t="str">
        <x:v>Open</x:v>
      </x:c>
    </x:row>
    <x:row r="76" ht="72" customHeight="1">
      <x:c r="A76" s="11" t="str">
        <x:v>B04</x:v>
      </x:c>
      <x:c r="B76" s="11" t="str">
        <x:v>Borders</x:v>
      </x:c>
      <x:c r="C76" s="11" t="str">
        <x:v>Partial</x:v>
      </x:c>
      <x:c r="D76" s="12" t="str">
        <x:v>P1</x:v>
      </x:c>
      <x:c r="E76" s="11" t="str">
        <x:v>Guarantee unsupported for custom surfaces/transparency; no forced-color recipe.</x:v>
      </x:c>
      <x:c r="F76" s="11" t="str">
        <x:v>Validate composited adjacent pairs/focus; document forced colors and unobscured focus.</x:v>
      </x:c>
      <x:c r="G76" s="11" t="str">
        <x:v>Verify composited essential boundaries and unobscured focus in forced colors and custom themes.</x:v>
      </x:c>
      <x:c r="H76" s="11" t="str">
        <x:v>borders.html:237; original audit #b04-p1</x:v>
      </x:c>
      <x:c r="I76" s="11" t="str">
        <x:v>Compositing, essential boundary contrast and forced-color focus rules are explicit; rendered evidence pending. Current: foundation-contract.json; borders.html#implementation-contract.</x:v>
      </x:c>
      <x:c r="J76" s="11" t="str">
        <x:v>Open</x:v>
      </x:c>
    </x:row>
    <x:row r="77" ht="72" customHeight="1">
      <x:c r="A77" s="11" t="str">
        <x:v>B05</x:v>
      </x:c>
      <x:c r="B77" s="11" t="str">
        <x:v>Borders</x:v>
      </x:c>
      <x:c r="C77" s="11" t="str">
        <x:v>Implemented</x:v>
      </x:c>
      <x:c r="D77" s="12" t="str">
        <x:v>P2</x:v>
      </x:c>
      <x:c r="E77" s="11" t="str">
        <x:v>Seed identity and effective border/state precedence unclear.</x:v>
      </x:c>
      <x:c r="F77" s="11" t="str">
        <x:v>Mark Custom/Based on; export one effective composite and define Default inheritance.</x:v>
      </x:c>
      <x:c r="G77" s="11" t="str">
        <x:v>Source/documentation fix present; include this specific requirement in release acceptance.</x:v>
      </x:c>
      <x:c r="H77" s="11" t="str">
        <x:v>borders.js:154; original audit #b05-p2</x:v>
      </x:c>
      <x:c r="I77" s="11" t="str">
        <x:v>Preset seeding and current live inheritance/application are correctly described rather than promised future work. Current: borders.html; borders.html#implementation-contract.</x:v>
      </x:c>
      <x:c r="J77" s="11" t="str">
        <x:v>Partial</x:v>
      </x:c>
    </x:row>
    <x:row r="78" ht="72" customHeight="1">
      <x:c r="A78" s="11" t="str">
        <x:v>B06</x:v>
      </x:c>
      <x:c r="B78" s="11" t="str">
        <x:v>Borders</x:v>
      </x:c>
      <x:c r="C78" s="11" t="str">
        <x:v>Implemented</x:v>
      </x:c>
      <x:c r="D78" s="12" t="str">
        <x:v>P2</x:v>
      </x:c>
      <x:c r="E78" s="11" t="str">
        <x:v>Scale/consumer width drift lacks governed exceptions.</x:v>
      </x:c>
      <x:c r="F78" s="11" t="str">
        <x:v>Audit widths; preserve justified semantic optical exceptions and migrate drift.</x:v>
      </x:c>
      <x:c r="G78" s="11" t="str">
        <x:v>Source/documentation fix present; include this specific requirement in release acceptance.</x:v>
      </x:c>
      <x:c r="H78" s="11" t="str">
        <x:v>theme.css:21; original audit #b06-p2</x:v>
      </x:c>
      <x:c r="I78" s="11" t="str">
        <x:v>Approved width exceptions and native hairline recipes are documented with consumers and rationale. Current: foundation-contract.json; borders.html#implementation-contract.</x:v>
      </x:c>
      <x:c r="J78" s="11" t="str">
        <x:v>Partial</x:v>
      </x:c>
    </x:row>
    <x:row r="79" ht="72" customHeight="1">
      <x:c r="A79" s="11" t="str">
        <x:v>B07</x:v>
      </x:c>
      <x:c r="B79" s="11" t="str">
        <x:v>Borders</x:v>
      </x:c>
      <x:c r="C79" s="11" t="str">
        <x:v>Implemented</x:v>
      </x:c>
      <x:c r="D79" s="12" t="str">
        <x:v>P1</x:v>
      </x:c>
      <x:c r="E79" s="11" t="str">
        <x:v>Brand/status changes do not retarget stored borders; no linked/overridden provenance.</x:v>
      </x:c>
      <x:c r="F79" s="11" t="str">
        <x:v>Default to semantic aliases; allow explicit detached override; resolve by theme.</x:v>
      </x:c>
      <x:c r="G79" s="11" t="str">
        <x:v>Source/documentation fix present; include this specific requirement in release acceptance.</x:v>
      </x:c>
      <x:c r="H79" s="11" t="str">
        <x:v>borders.js:455; original audit #b07-p1</x:v>
      </x:c>
      <x:c r="I79" s="11" t="str">
        <x:v>Default semantic state colors follow Brand/status until overridden; alias/override precedence travels in export. Current: foundation-model.js; borders.html#implementation-contract.</x:v>
      </x:c>
      <x:c r="J79" s="11" t="str">
        <x:v>Open</x:v>
      </x:c>
    </x:row>
    <x:row r="80" ht="60" customHeight="1">
      <x:c r="A80" s="11" t="str">
        <x:v>B08</x:v>
      </x:c>
      <x:c r="B80" s="11" t="str">
        <x:v>Borders</x:v>
      </x:c>
      <x:c r="C80" s="11" t="str">
        <x:v>Implemented</x:v>
      </x:c>
      <x:c r="D80" s="12" t="str">
        <x:v>P2</x:v>
      </x:c>
      <x:c r="E80" s="11" t="str">
        <x:v>Logical start/end unavailable; native density/print/forced-color translations absent.</x:v>
      </x:c>
      <x:c r="F80" s="11" t="str">
        <x:v>Offer/document inline/block sides and physical exceptions; map native/print; explain dividers.</x:v>
      </x:c>
      <x:c r="G80" s="11" t="str">
        <x:v>Source/documentation fix present; include this specific requirement in release acceptance.</x:v>
      </x:c>
      <x:c r="H80" s="11" t="str">
        <x:v>borders.js:90; original audit #b08-p2</x:v>
      </x:c>
      <x:c r="I80" s="11" t="str">
        <x:v>Logical start/end sides are editable; native, print and forced-color translations are documented. Current: borders.js; borders.html#implementation-contract.</x:v>
      </x:c>
      <x:c r="J80" s="11" t="str">
        <x:v>Partial</x:v>
      </x:c>
    </x:row>
    <x:row r="81" ht="72" customHeight="1">
      <x:c r="A81" s="11" t="str">
        <x:v>B09</x:v>
      </x:c>
      <x:c r="B81" s="11" t="str">
        <x:v>Borders</x:v>
      </x:c>
      <x:c r="C81" s="11" t="str">
        <x:v>Implemented</x:v>
      </x:c>
      <x:c r="D81" s="12" t="str">
        <x:v>P1</x:v>
      </x:c>
      <x:c r="E81" s="11" t="str">
        <x:v>No component exceptions/signal/precedence application contract.</x:v>
      </x:c>
      <x:c r="F81" s="11" t="str">
        <x:v>Export typed aliased composites plus precedence/geometry/accessibility rules.</x:v>
      </x:c>
      <x:c r="G81" s="11" t="str">
        <x:v>Source/documentation fix present; include this specific requirement in release acceptance.</x:v>
      </x:c>
      <x:c r="H81" s="11" t="str">
        <x:v>borders.js:154; original audit #b09-p1</x:v>
      </x:c>
      <x:c r="I81" s="11" t="str">
        <x:v>Portable border contract includes component exceptions, state precedence, accessibility and directional rules. Current: foundation-contract.json; borders.html#implementation-contract.</x:v>
      </x:c>
      <x:c r="J81" s="11" t="str">
        <x:v>Open</x:v>
      </x:c>
    </x:row>
    <x:row r="82" ht="72" customHeight="1">
      <x:c r="A82" s="11" t="str">
        <x:v>H01</x:v>
      </x:c>
      <x:c r="B82" s="11" t="str">
        <x:v>Shadows</x:v>
      </x:c>
      <x:c r="C82" s="11" t="str">
        <x:v>Implemented</x:v>
      </x:c>
      <x:c r="D82" s="12" t="str">
        <x:v>P1</x:v>
      </x:c>
      <x:c r="E82" s="11" t="str">
        <x:v>Selection does not resolve recipes/components; hierarchy conflicts; copy references absent product picker.</x:v>
      </x:c>
      <x:c r="F82" s="11" t="str">
        <x:v>Resolve per-philosophy layers/minimum separation or mark guidance-only; correct context copy.</x:v>
      </x:c>
      <x:c r="G82" s="11" t="str">
        <x:v>Source/documentation fix present; include this specific requirement in release acceptance.</x:v>
      </x:c>
      <x:c r="H82" s="11" t="str">
        <x:v>shadows.js:33; original audit #h01-p1</x:v>
      </x:c>
      <x:c r="I82" s="11" t="str">
        <x:v>Each philosophy resolves actual recipes; Flat preserves required overlay separation through alternatives. Current: foundation-model.js; shadows.html#implementation-contract.</x:v>
      </x:c>
      <x:c r="J82" s="11" t="str">
        <x:v>Open</x:v>
      </x:c>
    </x:row>
    <x:row r="83" ht="72" customHeight="1">
      <x:c r="A83" s="11" t="str">
        <x:v>H02</x:v>
      </x:c>
      <x:c r="B83" s="11" t="str">
        <x:v>Shadows</x:v>
      </x:c>
      <x:c r="C83" s="11" t="str">
        <x:v>Implemented</x:v>
      </x:c>
      <x:c r="D83" s="12" t="str">
        <x:v>P1</x:v>
      </x:c>
      <x:c r="E83" s="11" t="str">
        <x:v>Page/machine data lacks full offset/blur/spread/color/opacity and bindings; Soft/Expressive promise distinction without recipes.</x:v>
      </x:c>
      <x:c r="F83" s="11" t="str">
        <x:v>Expose typed primitive/semantic recipes, layering/inset policy and philosophy mappings.</x:v>
      </x:c>
      <x:c r="G83" s="11" t="str">
        <x:v>Source/documentation fix present; include this specific requirement in release acceptance.</x:v>
      </x:c>
      <x:c r="H83" s="11" t="str">
        <x:v>shadows.html:240; original audit #h02-p1</x:v>
      </x:c>
      <x:c r="I83" s="11" t="str">
        <x:v>Shadow defaults publish typed offset, blur, spread and color composites; mode mappings import independently. Current: tools/generate_tokens.py; shadows.html#implementation-contract.</x:v>
      </x:c>
      <x:c r="J83" s="11" t="str">
        <x:v>Open</x:v>
      </x:c>
    </x:row>
    <x:row r="84" ht="72" customHeight="1">
      <x:c r="A84" s="11" t="str">
        <x:v>H03</x:v>
      </x:c>
      <x:c r="B84" s="11" t="str">
        <x:v>Shadows</x:v>
      </x:c>
      <x:c r="C84" s="11" t="str">
        <x:v>Partial</x:v>
      </x:c>
      <x:c r="D84" s="12" t="str">
        <x:v>P1</x:v>
      </x:c>
      <x:c r="E84" s="11" t="str">
        <x:v>No theme/custom-dark visibility verification or forced-color/print policy.</x:v>
      </x:c>
      <x:c r="F84" s="11" t="str">
        <x:v>Define theme-aware surface/border/backdrop alternatives and validate actual adjacency.</x:v>
      </x:c>
      <x:c r="G84" s="11" t="str">
        <x:v>Verify actual custom-dark adjacency, borders/backdrops and forced-color/print fallbacks.</x:v>
      </x:c>
      <x:c r="H84" s="11" t="str">
        <x:v>theme.css:158; original audit #h03-p1</x:v>
      </x:c>
      <x:c r="I84" s="11" t="str">
        <x:v>Custom-dark, print and forced-color separation alternatives are documented; rendered adjacency evidence pending. Current: foundation-contract.json; shadows.html#implementation-contract.</x:v>
      </x:c>
      <x:c r="J84" s="11" t="str">
        <x:v>Open</x:v>
      </x:c>
    </x:row>
    <x:row r="85" ht="72" customHeight="1">
      <x:c r="A85" s="11" t="str">
        <x:v>H04</x:v>
      </x:c>
      <x:c r="B85" s="11" t="str">
        <x:v>Shadows</x:v>
      </x:c>
      <x:c r="C85" s="11" t="str">
        <x:v>Implemented</x:v>
      </x:c>
      <x:c r="D85" s="12" t="str">
        <x:v>P1</x:v>
      </x:c>
      <x:c r="E85" s="11" t="str">
        <x:v>No stacking/z-index/portal/clipping/nesting/backdrop/focus ownership contract; shadow magnitude not order.</x:v>
      </x:c>
      <x:c r="F85" s="11" t="str">
        <x:v>Define layer scale/overlay manager, nested/portal/clipping rules and responsive behavior.</x:v>
      </x:c>
      <x:c r="G85" s="11" t="str">
        <x:v>Source/documentation fix present; include this specific requirement in release acceptance.</x:v>
      </x:c>
      <x:c r="H85" s="11" t="str">
        <x:v>shadows.html:281; original audit #h04-p1</x:v>
      </x:c>
      <x:c r="I85" s="11" t="str">
        <x:v>Named layers and portal/nesting/clipping/backdrop/focus ownership rules distinguish elevation from stacking. Current: foundation-contract.json; shadows.html#implementation-contract.</x:v>
      </x:c>
      <x:c r="J85" s="11" t="str">
        <x:v>Open</x:v>
      </x:c>
    </x:row>
    <x:row r="86" ht="60" customHeight="1">
      <x:c r="A86" s="11" t="str">
        <x:v>H05</x:v>
      </x:c>
      <x:c r="B86" s="11" t="str">
        <x:v>Shadows</x:v>
      </x:c>
      <x:c r="C86" s="11" t="str">
        <x:v>Implemented</x:v>
      </x:c>
      <x:c r="D86" s="12" t="str">
        <x:v>P2</x:v>
      </x:c>
      <x:c r="E86" s="11" t="str">
        <x:v>Card variants/defaults conflict; inert cards can gain interactive elevation cues.</x:v>
      </x:c>
      <x:c r="F86" s="11" t="str">
        <x:v>Define static bordered/elevated/interactive variants and synchronized state defaults.</x:v>
      </x:c>
      <x:c r="G86" s="11" t="str">
        <x:v>Source/documentation fix present; include this specific requirement in release acceptance.</x:v>
      </x:c>
      <x:c r="H86" s="11" t="str">
        <x:v>shadows.html:317; original audit #h05-p2</x:v>
      </x:c>
      <x:c r="I86" s="11" t="str">
        <x:v>Pressed example uses XS; static bordered, elevated and interactive cards have distinct recipes. Current: shadows.html; shadows.html#implementation-contract.</x:v>
      </x:c>
      <x:c r="J86" s="11" t="str">
        <x:v>Partial</x:v>
      </x:c>
    </x:row>
    <x:row r="87" ht="72" customHeight="1">
      <x:c r="A87" s="11" t="str">
        <x:v>H06</x:v>
      </x:c>
      <x:c r="B87" s="11" t="str">
        <x:v>Shadows</x:v>
      </x:c>
      <x:c r="C87" s="11" t="str">
        <x:v>Implemented</x:v>
      </x:c>
      <x:c r="D87" s="12" t="str">
        <x:v>P2</x:v>
      </x:c>
      <x:c r="E87" s="11" t="str">
        <x:v>No concrete keyboard/touch/reduced-motion state recipes/performance guidance.</x:v>
      </x:c>
      <x:c r="F87" s="11" t="str">
        <x:v>Show focus/selected/pressed with second signals, restrained transitions and touch equivalents.</x:v>
      </x:c>
      <x:c r="G87" s="11" t="str">
        <x:v>Source/documentation fix present; include this specific requirement in release acceptance.</x:v>
      </x:c>
      <x:c r="H87" s="11" t="str">
        <x:v>shadows.html:168; original audit #h06-p2</x:v>
      </x:c>
      <x:c r="I87" s="11" t="str">
        <x:v>Keyboard/touch interaction, reduced-motion alternatives and shadow performance guidance are concrete. Current: foundation-contract.json; shadows.html#implementation-contract.</x:v>
      </x:c>
      <x:c r="J87" s="11" t="str">
        <x:v>Implemented</x:v>
      </x:c>
    </x:row>
    <x:row r="88" ht="60" customHeight="1">
      <x:c r="A88" s="11" t="str">
        <x:v>H07</x:v>
      </x:c>
      <x:c r="B88" s="11" t="str">
        <x:v>Shadows</x:v>
      </x:c>
      <x:c r="C88" s="11" t="str">
        <x:v>Implemented</x:v>
      </x:c>
      <x:c r="D88" s="12" t="str">
        <x:v>P1</x:v>
      </x:c>
      <x:c r="E88" s="11" t="str">
        <x:v>Handoff lacks resolved recipes and normative/layer rules.</x:v>
      </x:c>
      <x:c r="F88" s="11" t="str">
        <x:v>Use complete shared export with effective recipes/modes/semantic/layer guidance.</x:v>
      </x:c>
      <x:c r="G88" s="11" t="str">
        <x:v>Source/documentation fix present; include this specific requirement in release acceptance.</x:v>
      </x:c>
      <x:c r="H88" s="11" t="str">
        <x:v>shadows.html:372; original audit #h07-p1</x:v>
      </x:c>
      <x:c r="I88" s="11" t="str">
        <x:v>Current shadow recipes, layers and mode/alternative rules travel in Markdown/JSON. Current: foundation-runtime.js; shadows.html#implementation-contract.</x:v>
      </x:c>
      <x:c r="J88" s="11" t="str">
        <x:v>Open</x:v>
      </x:c>
    </x:row>
    <x:row r="89" ht="60" customHeight="1">
      <x:c r="A89" s="11" t="str">
        <x:v>I01</x:v>
      </x:c>
      <x:c r="B89" s="11" t="str">
        <x:v>Icons</x:v>
      </x:c>
      <x:c r="C89" s="11" t="str">
        <x:v>Implemented</x:v>
      </x:c>
      <x:c r="D89" s="12" t="str">
        <x:v>P1</x:v>
      </x:c>
      <x:c r="E89" s="11" t="str">
        <x:v>References lost on navigation/reload; no per-file remove/replace; reset incomplete.</x:v>
      </x:c>
      <x:c r="F89" s="11" t="str">
        <x:v>Persist/package authorized manifest/files; expose durability; remove/replace/clear with scoped reset.</x:v>
      </x:c>
      <x:c r="G89" s="11" t="str">
        <x:v>Source/documentation fix present; include this specific requirement in release acceptance.</x:v>
      </x:c>
      <x:c r="H89" s="11" t="str">
        <x:v>icons.js:149; original audit #i01-p1</x:v>
      </x:c>
      <x:c r="I89" s="11" t="str">
        <x:v>Reference assets persist with per-file removal and complete reset; explicit source/manifest travels in handoff. Current: icons.js; icons.html#implementation-contract.</x:v>
      </x:c>
      <x:c r="J89" s="11" t="str">
        <x:v>Open</x:v>
      </x:c>
    </x:row>
    <x:row r="90" ht="60" customHeight="1">
      <x:c r="A90" s="11" t="str">
        <x:v>I02</x:v>
      </x:c>
      <x:c r="B90" s="11" t="str">
        <x:v>Icons</x:v>
      </x:c>
      <x:c r="C90" s="11" t="str">
        <x:v>Implemented</x:v>
      </x:c>
      <x:c r="D90" s="12" t="str">
        <x:v>P1</x:v>
      </x:c>
      <x:c r="E90" s="11" t="str">
        <x:v>No visible keyboard focus target to open chooser.</x:v>
      </x:c>
      <x:c r="F90" s="11" t="str">
        <x:v>Real labelled Choose files button/input; optional drag/drop; announce outcomes/focus restoration.</x:v>
      </x:c>
      <x:c r="G90" s="11" t="str">
        <x:v>Source/documentation fix present; include this specific requirement in release acceptance.</x:v>
      </x:c>
      <x:c r="H90" s="11" t="str">
        <x:v>icons.html:374; original audit #i02-p1</x:v>
      </x:c>
      <x:c r="I90" s="11" t="str">
        <x:v>Upload dropzone is keyboard reachable with a named activation path and visible focus. Current: icons.js; icons.html#implementation-contract.</x:v>
      </x:c>
      <x:c r="J90" s="11" t="str">
        <x:v>Open</x:v>
      </x:c>
    </x:row>
    <x:row r="91" ht="60" customHeight="1">
      <x:c r="A91" s="11" t="str">
        <x:v>I03</x:v>
      </x:c>
      <x:c r="B91" s="11" t="str">
        <x:v>Icons</x:v>
      </x:c>
      <x:c r="C91" s="11" t="str">
        <x:v>Partial</x:v>
      </x:c>
      <x:c r="D91" s="12" t="str">
        <x:v>P1</x:v>
      </x:c>
      <x:c r="E91" s="11" t="str">
        <x:v>No actual type/size/count/decode/read-error/duplicate limits; SVG normalization undefined. Image embedding alone is not proof of script execution.</x:v>
      </x:c>
      <x:c r="F91" s="11" t="str">
        <x:v>Validate files/decode, report per-file failures, deduplicate and normalize approved SVG before inline reuse.</x:v>
      </x:c>
      <x:c r="G91" s="11" t="str">
        <x:v>Verify malformed/valid asset decoding and error feedback in a real image engine. References are inert; only reviewed catalog glyphs may be inlined.</x:v>
      </x:c>
      <x:c r="H91" s="11" t="str">
        <x:v>icons.js:238; original audit #i03-p1</x:v>
      </x:c>
      <x:c r="I91" s="11" t="str">
        <x:v>Bounded type/size/count, duplicates and read/decode errors preserve recovery; references stay inert images. Current: icons.js; icons.html#implementation-contract.</x:v>
      </x:c>
      <x:c r="J91" s="11" t="str">
        <x:v>Open</x:v>
      </x:c>
    </x:row>
    <x:row r="92" ht="60" customHeight="1">
      <x:c r="A92" s="11" t="str">
        <x:v>I04</x:v>
      </x:c>
      <x:c r="B92" s="11" t="str">
        <x:v>Icons</x:v>
      </x:c>
      <x:c r="C92" s="11" t="str">
        <x:v>Implemented</x:v>
      </x:c>
      <x:c r="D92" s="12" t="str">
        <x:v>P2</x:v>
      </x:c>
      <x:c r="E92" s="11" t="str">
        <x:v>Functional UI and illustrations conflated; unsupported controls/library combinations not signposted.</x:v>
      </x:c>
      <x:c r="F92" s="11" t="str">
        <x:v>Separate UI/illustration profiles; disable irrelevant controls and validate compatible libraries.</x:v>
      </x:c>
      <x:c r="G92" s="11" t="str">
        <x:v>Source/documentation fix present; include this specific requirement in release acceptance.</x:v>
      </x:c>
      <x:c r="H92" s="11" t="str">
        <x:v>icons.html:172; original audit #i04-p2</x:v>
      </x:c>
      <x:c r="I92" s="11" t="str">
        <x:v>UI glyphs and illustration references have separate rules; unsupported source/style controls disable accurately. Current: icons.js; icons.html#implementation-contract.</x:v>
      </x:c>
      <x:c r="J92" s="11" t="str">
        <x:v>Partial</x:v>
      </x:c>
    </x:row>
    <x:row r="93" ht="72" customHeight="1">
      <x:c r="A93" s="11" t="str">
        <x:v>I05</x:v>
      </x:c>
      <x:c r="B93" s="11" t="str">
        <x:v>Icons</x:v>
      </x:c>
      <x:c r="C93" s="11" t="str">
        <x:v>Implemented</x:v>
      </x:c>
      <x:c r="D93" s="12" t="str">
        <x:v>P1</x:v>
      </x:c>
      <x:c r="E93" s="11" t="str">
        <x:v>No canonical named catalog/action mapping/normalization/resolver/import implementation.</x:v>
      </x:c>
      <x:c r="F93" s="11" t="str">
        <x:v>Approved named set/source and normalized geometry; resolver/import guidance; label references versus integrations.</x:v>
      </x:c>
      <x:c r="G93" s="11" t="str">
        <x:v>Source/documentation fix present; include this specific requirement in release acceptance.</x:v>
      </x:c>
      <x:c r="H93" s="11" t="str">
        <x:v>icons.js:115; original audit #i05-p1</x:v>
      </x:c>
      <x:c r="I93" s="11" t="str">
        <x:v>Six licensed Google Material actions have canonical names, directional metadata and an accessible SVG API. Current: icon-catalog.json; icons.html#implementation-contract.</x:v>
      </x:c>
      <x:c r="J93" s="11" t="str">
        <x:v>Open</x:v>
      </x:c>
    </x:row>
    <x:row r="94" ht="72" customHeight="1">
      <x:c r="A94" s="11" t="str">
        <x:v>I06</x:v>
      </x:c>
      <x:c r="B94" s="11" t="str">
        <x:v>Icons</x:v>
      </x:c>
      <x:c r="C94" s="11" t="str">
        <x:v>Implemented</x:v>
      </x:c>
      <x:c r="D94" s="12" t="str">
        <x:v>P1</x:v>
      </x:c>
      <x:c r="E94" s="11" t="str">
        <x:v>No complete decorative SVG/meaningful symbol/control/status/loading semantics examples.</x:v>
      </x:c>
      <x:c r="F94" s="11" t="str">
        <x:v>Document hidden decoration, named functional controls, textual status/loading and native equivalents.</x:v>
      </x:c>
      <x:c r="G94" s="11" t="str">
        <x:v>Source/documentation fix present; include this specific requirement in release acceptance.</x:v>
      </x:c>
      <x:c r="H94" s="11" t="str">
        <x:v>icons.html:309; original audit #i06-p1</x:v>
      </x:c>
      <x:c r="I94" s="11" t="str">
        <x:v>Decorative versus labelled SVG, icon-only controls and status/loading announcements have concrete examples. Current: foundation-model.js; icons.html#implementation-contract.</x:v>
      </x:c>
      <x:c r="J94" s="11" t="str">
        <x:v>Open</x:v>
      </x:c>
    </x:row>
    <x:row r="95" ht="72" customHeight="1">
      <x:c r="A95" s="11" t="str">
        <x:v>I07</x:v>
      </x:c>
      <x:c r="B95" s="11" t="str">
        <x:v>Icons</x:v>
      </x:c>
      <x:c r="C95" s="11" t="str">
        <x:v>Partial</x:v>
      </x:c>
      <x:c r="D95" s="12" t="str">
        <x:v>P1</x:v>
      </x:c>
      <x:c r="E95" s="11" t="str">
        <x:v>Glyph versus hit area conflated; optical bounds/stroke scaling/clipping undefined.</x:v>
      </x:c>
      <x:c r="F95" s="11" t="str">
        <x:v>Separate glyph/grid/hit tokens; actual-size optical/stroke normalization.</x:v>
      </x:c>
      <x:c r="G95" s="11" t="str">
        <x:v>Verify actual-size optical bounds, stroke scaling, clipping and hit areas across styles/devices.</x:v>
      </x:c>
      <x:c r="H95" s="11" t="str">
        <x:v>icons.html:270; original audit #i07-p1</x:v>
      </x:c>
      <x:c r="I95" s="11" t="str">
        <x:v>Glyph size, viewBox/stroke and target size are separate; actual optical/clipping/hit-area acceptance remains open. Current: foundation-contract.json; icons.html#implementation-contract.</x:v>
      </x:c>
      <x:c r="J95" s="11" t="str">
        <x:v>Open</x:v>
      </x:c>
    </x:row>
    <x:row r="96" ht="72" customHeight="1">
      <x:c r="A96" s="11" t="str">
        <x:v>I08</x:v>
      </x:c>
      <x:c r="B96" s="11" t="str">
        <x:v>Icons</x:v>
      </x:c>
      <x:c r="C96" s="11" t="str">
        <x:v>Implemented</x:v>
      </x:c>
      <x:c r="D96" s="12" t="str">
        <x:v>P2</x:v>
      </x:c>
      <x:c r="E96" s="11" t="str">
        <x:v>Icon guide does not specify which mirror/invariant, localized meaning or reduced-motion alternatives.</x:v>
      </x:c>
      <x:c r="F96" s="11" t="str">
        <x:v>Publish symbol-specific direction/motion rules, distinguish trends/navigation/physical symbols.</x:v>
      </x:c>
      <x:c r="G96" s="11" t="str">
        <x:v>Source/documentation fix present; include this specific requirement in release acceptance.</x:v>
      </x:c>
      <x:c r="H96" s="11" t="str">
        <x:v>icons.html:350; original audit #i08-p2</x:v>
      </x:c>
      <x:c r="I96" s="11" t="str">
        <x:v>Directional chevrons mirror in RTL; invariant symbols do not; reduced-motion/localized meaning rules are explicit. Current: foundation-model.js; icons.html#implementation-contract.</x:v>
      </x:c>
      <x:c r="J96" s="11" t="str">
        <x:v>Implemented</x:v>
      </x:c>
    </x:row>
    <x:row r="97" ht="72" customHeight="1">
      <x:c r="A97" s="11" t="str">
        <x:v>I09</x:v>
      </x:c>
      <x:c r="B97" s="11" t="str">
        <x:v>Icons</x:v>
      </x:c>
      <x:c r="C97" s="11" t="str">
        <x:v>Implemented</x:v>
      </x:c>
      <x:c r="D97" s="12" t="str">
        <x:v>P2</x:v>
      </x:c>
      <x:c r="E97" s="11" t="str">
        <x:v>No bounded agent prompt/schema, accepted SVGs/rejection criteria, provenance or verified license/version manifest.</x:v>
      </x:c>
      <x:c r="F97" s="11" t="str">
        <x:v>Provide geometric/currentColor/name/semantic constraints, human review and approved source manifest.</x:v>
      </x:c>
      <x:c r="G97" s="11" t="str">
        <x:v>Source/documentation fix present; include this specific requirement in release acceptance.</x:v>
      </x:c>
      <x:c r="H97" s="11" t="str">
        <x:v>icons.html:168; original audit #i09-p2</x:v>
      </x:c>
      <x:c r="I97" s="11" t="str">
        <x:v>Catalog license/provenance and agent constraints define accepted geometry and reviewed versus inert references. Current: foundation-contract.json; icons.html#implementation-contract.</x:v>
      </x:c>
      <x:c r="J97" s="11" t="str">
        <x:v>Partial</x:v>
      </x:c>
    </x:row>
    <x:row r="98" ht="60" customHeight="1">
      <x:c r="A98" s="11" t="str">
        <x:v>I10</x:v>
      </x:c>
      <x:c r="B98" s="11" t="str">
        <x:v>Icons</x:v>
      </x:c>
      <x:c r="C98" s="11" t="str">
        <x:v>Implemented</x:v>
      </x:c>
      <x:c r="D98" s="12" t="str">
        <x:v>P1</x:v>
      </x:c>
      <x:c r="E98" s="11" t="str">
        <x:v>No assets/state/accessibility/direction/generation contract.</x:v>
      </x:c>
      <x:c r="F98" s="11" t="str">
        <x:v>Export asset package/references plus normative state/semantics/direction/generation rules.</x:v>
      </x:c>
      <x:c r="G98" s="11" t="str">
        <x:v>Source/documentation fix present; include this specific requirement in release acceptance.</x:v>
      </x:c>
      <x:c r="H98" s="11" t="str">
        <x:v>icons.js:72; original audit #i10-p1</x:v>
      </x:c>
      <x:c r="I98" s="11" t="str">
        <x:v>Icon handoff carries sources/assets, state/accessibility/direction and generation constraints. Current: icons.js; icons.html#implementation-contract.</x:v>
      </x:c>
      <x:c r="J98" s="11" t="str">
        <x:v>Open</x:v>
      </x:c>
    </x:row>
    <x:row r="99" ht="72" customHeight="1">
      <x:c r="A99" s="11" t="str">
        <x:v>A01</x:v>
      </x:c>
      <x:c r="B99" s="11" t="str">
        <x:v>AI &amp; Agents</x:v>
      </x:c>
      <x:c r="C99" s="11" t="str">
        <x:v>Implemented</x:v>
      </x:c>
      <x:c r="D99" s="12" t="str">
        <x:v>P1</x:v>
      </x:c>
      <x:c r="E99" s="11" t="str">
        <x:v>Rename rationale/source claim factually unsupported; citations plain text.</x:v>
      </x:c>
      <x:c r="F99" s="11" t="str">
        <x:v>Use verified real example or explicitly fictional simulation; link exact evidence and affected diff.</x:v>
      </x:c>
      <x:c r="G99" s="11" t="str">
        <x:v>Source/documentation fix present; include this specific requirement in release acceptance.</x:v>
      </x:c>
      <x:c r="H99" s="11" t="str">
        <x:v>ai-foundation.html:240; original audit #a01-p1</x:v>
      </x:c>
      <x:c r="I99" s="11" t="str">
        <x:v>Rationale uses honest illustrative source labels and linked references rather than unsupported real research claims. Current: ai-foundation.html; ai-foundation.html#implementation-contract.</x:v>
      </x:c>
      <x:c r="J99" s="11" t="str">
        <x:v>Open</x:v>
      </x:c>
    </x:row>
    <x:row r="100" ht="72" customHeight="1">
      <x:c r="A100" s="11" t="str">
        <x:v>A02</x:v>
      </x:c>
      <x:c r="B100" s="11" t="str">
        <x:v>AI &amp; Agents</x:v>
      </x:c>
      <x:c r="C100" s="11" t="str">
        <x:v>Implemented</x:v>
      </x:c>
      <x:c r="D100" s="12" t="str">
        <x:v>P1</x:v>
      </x:c>
      <x:c r="E100" s="11" t="str">
        <x:v>Claims applied without mutation; decline conflated with failure; undo no actual recorded operation.</x:v>
      </x:c>
      <x:c r="F100" s="11" t="str">
        <x:v>Label simulation; separate decision/execution; neutral decline; define operation and undo scope.</x:v>
      </x:c>
      <x:c r="G100" s="11" t="str">
        <x:v>Source/documentation fix present; include this specific requirement in release acceptance.</x:v>
      </x:c>
      <x:c r="H100" s="11" t="str">
        <x:v>ai-foundation.js:24; original audit #a02-p1</x:v>
      </x:c>
      <x:c r="I100" s="11" t="str">
        <x:v>Local approval/decline/Undo reflects recorded decision state; decline is neutral and is not execution failure. Current: ai-foundation.js; ai-foundation.html#implementation-contract.</x:v>
      </x:c>
      <x:c r="J100" s="11" t="str">
        <x:v>Open</x:v>
      </x:c>
    </x:row>
    <x:row r="101" ht="72" customHeight="1">
      <x:c r="A101" s="11" t="str">
        <x:v>A03</x:v>
      </x:c>
      <x:c r="B101" s="11" t="str">
        <x:v>AI &amp; Agents</x:v>
      </x:c>
      <x:c r="C101" s="11" t="str">
        <x:v>Implemented</x:v>
      </x:c>
      <x:c r="D101" s="12" t="str">
        <x:v>P1</x:v>
      </x:c>
      <x:c r="E101" s="11" t="str">
        <x:v>No validation/queue/running/partial/success/failure/cancel/expired/undo-failed lifecycle; retry/idempotency/stale handling missing.</x:v>
      </x:c>
      <x:c r="F101" s="11" t="str">
        <x:v>Define lifecycle/transitions/actions/progress/retry/cancel/compensation, distinguish local/external effects.</x:v>
      </x:c>
      <x:c r="G101" s="11" t="str">
        <x:v>Source/documentation fix present; include this specific requirement in release acceptance.</x:v>
      </x:c>
      <x:c r="H101" s="11" t="str">
        <x:v>ai-foundation.html:216; original audit #a03-p1</x:v>
      </x:c>
      <x:c r="I101" s="11" t="str">
        <x:v>Validated lifecycle covers queue/run/partial/success/failure/cancel/expiry/undo failure, scope and idempotent retry. Current: agent-model.js; ai-foundation.html#implementation-contract.</x:v>
      </x:c>
      <x:c r="J101" s="11" t="str">
        <x:v>Open</x:v>
      </x:c>
    </x:row>
    <x:row r="102" ht="72" customHeight="1">
      <x:c r="A102" s="11" t="str">
        <x:v>A04</x:v>
      </x:c>
      <x:c r="B102" s="11" t="str">
        <x:v>AI &amp; Agents</x:v>
      </x:c>
      <x:c r="C102" s="11" t="str">
        <x:v>Implemented</x:v>
      </x:c>
      <x:c r="D102" s="12" t="str">
        <x:v>P1</x:v>
      </x:c>
      <x:c r="E102" s="11" t="str">
        <x:v>No threshold/evidence/calibration/unknown state; confidence not equivalent to execution outcome.</x:v>
      </x:c>
      <x:c r="F102" s="11" t="str">
        <x:v>Define domain evidence/tiering and unknown; avoid fabricated certainty; separate outcome semantics.</x:v>
      </x:c>
      <x:c r="G102" s="11" t="str">
        <x:v>Source/documentation fix present; include this specific requirement in release acceptance.</x:v>
      </x:c>
      <x:c r="H102" s="11" t="str">
        <x:v>ai-foundation.html:180; original audit #a04-p1</x:v>
      </x:c>
      <x:c r="I102" s="11" t="str">
        <x:v>Confidence allows unknown, separates evidence/calibration thresholds from execution outcome. Current: foundation-contract.json; ai-foundation.html#implementation-contract.</x:v>
      </x:c>
      <x:c r="J102" s="11" t="str">
        <x:v>Open</x:v>
      </x:c>
    </x:row>
    <x:row r="103" ht="72" customHeight="1">
      <x:c r="A103" s="11" t="str">
        <x:v>A05</x:v>
      </x:c>
      <x:c r="B103" s="11" t="str">
        <x:v>AI &amp; Agents</x:v>
      </x:c>
      <x:c r="C103" s="11" t="str">
        <x:v>Implemented</x:v>
      </x:c>
      <x:c r="D103" s="12" t="str">
        <x:v>P1</x:v>
      </x:c>
      <x:c r="E103" s="11" t="str">
        <x:v>Queue/generating/partial/stop/retry/interruption/timeout/completion/autoscroll/announcements undefined.</x:v>
      </x:c>
      <x:c r="F103" s="11" t="str">
        <x:v>Real controlled stream example, preserve partial output, coarse announcements, intentional scroll/retry.</x:v>
      </x:c>
      <x:c r="G103" s="11" t="str">
        <x:v>Source/documentation fix present; include this specific requirement in release acceptance.</x:v>
      </x:c>
      <x:c r="H103" s="11" t="str">
        <x:v>ai-foundation.html:209; original audit #a05-p1</x:v>
      </x:c>
      <x:c r="I103" s="11" t="str">
        <x:v>Executable stream supports partial output, Stop/Continue, interruption/Retry, cancellation and coarse announcements. Current: ai-foundation.js; ai-foundation.html#implementation-contract.</x:v>
      </x:c>
      <x:c r="J103" s="11" t="str">
        <x:v>Open</x:v>
      </x:c>
    </x:row>
    <x:row r="104" ht="72" customHeight="1">
      <x:c r="A104" s="11" t="str">
        <x:v>A06</x:v>
      </x:c>
      <x:c r="B104" s="11" t="str">
        <x:v>AI &amp; Agents</x:v>
      </x:c>
      <x:c r="C104" s="11" t="str">
        <x:v>Implemented</x:v>
      </x:c>
      <x:c r="D104" s="12" t="str">
        <x:v>P1</x:v>
      </x:c>
      <x:c r="E104" s="11" t="str">
        <x:v>Local/reversible versus external/irreversible, changed-scope consent, expiry/resource impacts unspecified.</x:v>
      </x:c>
      <x:c r="F104" s="11" t="str">
        <x:v>Define effect previews/capability-based autonomy and scope; reuse valid authorization, renew only for changed/defined scope.</x:v>
      </x:c>
      <x:c r="G104" s="11" t="str">
        <x:v>Source/documentation fix present; include this specific requirement in release acceptance.</x:v>
      </x:c>
      <x:c r="H104" s="11" t="str">
        <x:v>ai-foundation.html:223; original audit #a06-p1</x:v>
      </x:c>
      <x:c r="I104" s="11" t="str">
        <x:v>Local versus external effects, approval scope, changed-scope consent, expiry and resource limits are defined. Current: foundation-contract.json; ai-foundation.html#implementation-contract.</x:v>
      </x:c>
      <x:c r="J104" s="11" t="str">
        <x:v>Open</x:v>
      </x:c>
    </x:row>
    <x:row r="105" ht="60" customHeight="1">
      <x:c r="A105" s="11" t="str">
        <x:v>A07</x:v>
      </x:c>
      <x:c r="B105" s="11" t="str">
        <x:v>AI &amp; Agents</x:v>
      </x:c>
      <x:c r="C105" s="11" t="str">
        <x:v>Implemented</x:v>
      </x:c>
      <x:c r="D105" s="12" t="str">
        <x:v>P1</x:v>
      </x:c>
      <x:c r="E105" s="11" t="str">
        <x:v>Outcome announcement/focus recovery incomplete; hypothetical undo timing unspecified.</x:v>
      </x:c>
      <x:c r="F105" s="11" t="str">
        <x:v>Announce outcome and restore focus; keyboard-operable undo with defined timing/persistence; neutral decline.</x:v>
      </x:c>
      <x:c r="G105" s="11" t="str">
        <x:v>Source/documentation fix present; include this specific requirement in release acceptance.</x:v>
      </x:c>
      <x:c r="H105" s="11" t="str">
        <x:v>ai-foundation.js:15; original audit #a07-p1</x:v>
      </x:c>
      <x:c r="I105" s="11" t="str">
        <x:v>Decision/stream outcomes have named status and focus recovery; pending/undo timing is documented. Current: ai-foundation.js; ai-foundation.html#implementation-contract.</x:v>
      </x:c>
      <x:c r="J105" s="11" t="str">
        <x:v>Open</x:v>
      </x:c>
    </x:row>
    <x:row r="106" ht="72" customHeight="1">
      <x:c r="A106" s="11" t="str">
        <x:v>A08</x:v>
      </x:c>
      <x:c r="B106" s="11" t="str">
        <x:v>AI &amp; Agents</x:v>
      </x:c>
      <x:c r="C106" s="11" t="str">
        <x:v>Implemented</x:v>
      </x:c>
      <x:c r="D106" s="12" t="str">
        <x:v>P1</x:v>
      </x:c>
      <x:c r="E106" s="11" t="str">
        <x:v>No authoritative token resolution/conflict/missing-data/schema/verification contract; external evidence not distinguished from instructions.</x:v>
      </x:c>
      <x:c r="F106" s="11" t="str">
        <x:v>Publish trusted-source precedence, capabilities, scope, output/provenance schemas and validation requirements; treat evidence as data.</x:v>
      </x:c>
      <x:c r="G106" s="11" t="str">
        <x:v>Source/documentation fix present; include this specific requirement in release acceptance.</x:v>
      </x:c>
      <x:c r="H106" s="11" t="str">
        <x:v>ai-foundation.html:249; original audit #a08-p1</x:v>
      </x:c>
      <x:c r="I106" s="11" t="str">
        <x:v>Agent input/output contract defines authority, trusted evidence, schema, missing data, capabilities and verification. Current: foundation-contract.json; ai-foundation.html#implementation-contract.</x:v>
      </x:c>
      <x:c r="J106" s="11" t="str">
        <x:v>Open</x:v>
      </x:c>
    </x:row>
    <x:row r="107" ht="60" customHeight="1">
      <x:c r="A107" s="11" t="str">
        <x:v>A09</x:v>
      </x:c>
      <x:c r="B107" s="11" t="str">
        <x:v>AI &amp; Agents</x:v>
      </x:c>
      <x:c r="C107" s="11" t="str">
        <x:v>Implemented</x:v>
      </x:c>
      <x:c r="D107" s="12" t="str">
        <x:v>P1</x:v>
      </x:c>
      <x:c r="E107" s="11" t="str">
        <x:v>Defining agent guidance cannot travel through complete handoff.</x:v>
      </x:c>
      <x:c r="F107" s="11" t="str">
        <x:v>Include AI rules/contracts/tokens in manifest/export and make intentional omission visible.</x:v>
      </x:c>
      <x:c r="G107" s="11" t="str">
        <x:v>Source/documentation fix present; include this specific requirement in release acceptance.</x:v>
      </x:c>
      <x:c r="H107" s="11" t="str">
        <x:v>experience.js:220; original audit #a09-p1</x:v>
      </x:c>
      <x:c r="I107" s="11" t="str">
        <x:v>AI is included in catalog, nine-section readiness and complete portable Foundation handoff. Current: project-model.js; ai-foundation.html#implementation-contract.</x:v>
      </x:c>
      <x:c r="J107" s="11" t="str">
        <x:v>Partial</x:v>
      </x:c>
    </x:row>
    <x:row r="108" ht="72" customHeight="1">
      <x:c r="A108" s="11" t="str">
        <x:v>A10</x:v>
      </x:c>
      <x:c r="B108" s="11" t="str">
        <x:v>AI &amp; Agents</x:v>
      </x:c>
      <x:c r="C108" s="11" t="str">
        <x:v>Implemented</x:v>
      </x:c>
      <x:c r="D108" s="12" t="str">
        <x:v>P2</x:v>
      </x:c>
      <x:c r="E108" s="11" t="str">
        <x:v>No mixed human/AI authorship, source history, multi-agent contribution, redacted/missing/private evidence or verification rules.</x:v>
      </x:c>
      <x:c r="F108" s="11" t="str">
        <x:v>Define provenance/version/tool/human-review/edit/redaction fields and progressive disclosure; require supportable evidence.</x:v>
      </x:c>
      <x:c r="G108" s="11" t="str">
        <x:v>Source/documentation fix present; include this specific requirement in release acceptance.</x:v>
      </x:c>
      <x:c r="H108" s="11" t="str">
        <x:v>ai-foundation.html:176; original audit #a10-p2</x:v>
      </x:c>
      <x:c r="I108" s="11" t="str">
        <x:v>Provenance/privacy rules cover mixed authorship, tools/review history, private/missing sources and retention. Current: foundation-contract.json; ai-foundation.html#implementation-contract.</x:v>
      </x:c>
      <x:c r="J108" s="11" t="str">
        <x:v>Partial</x:v>
      </x:c>
    </x:row>
  </x:sheetData>
  <x:mergeCells>
    <x:mergeCell ref="A3:J3"/>
    <x:mergeCell ref="A4:J4"/>
    <x:mergeCell ref="A5:J5"/>
  </x:mergeCells>
  <x:conditionalFormatting sqref="C9:C108">
    <x:cfRule type="cellIs" dxfId="7" priority="1" operator="equal">
      <x:formula>"Partial"</x:formula>
    </x:cfRule>
    <x:cfRule type="cellIs" dxfId="8" priority="2" operator="equal">
      <x:formula>"Unverified"</x:formula>
    </x:cfRule>
    <x:cfRule type="cellIs" dxfId="9" priority="3" operator="equal">
      <x:formula>"Verification pending"</x:formula>
    </x:cfRule>
    <x:cfRule type="cellIs" dxfId="10" priority="4" operator="equal">
      <x:formula>"Implemented; visual pending"</x:formula>
    </x:cfRule>
    <x:cfRule type="cellIs" dxfId="11" priority="5" operator="equal">
      <x:formula>"Not implemented"</x:formula>
    </x:cfRule>
    <x:cfRule type="cellIs" dxfId="12" priority="6" operator="equal">
      <x:formula>"Not completed"</x:formula>
    </x:cfRule>
    <x:cfRule type="cellIs" dxfId="13" priority="7" operator="equal">
      <x:formula>"Not fully revalidated"</x:formula>
    </x:cfRule>
  </x:conditionalFormatting>
  <x:dataValidations count="1">
    <x:dataValidation type="list" sqref="C9:C108">
      <x:formula1>"Implemented,Implemented; visual pending,Partial,Unverified,Verification pending,Not implemented,Not completed,Not fully revalidated"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4e096797034dca"/>
  </x:tableParts>
</x:worksheet>
</file>